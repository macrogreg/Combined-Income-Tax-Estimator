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00\Code\GitHub\Combined-Income-Tax-Estimator\"/>
    </mc:Choice>
  </mc:AlternateContent>
  <xr:revisionPtr revIDLastSave="0" documentId="13_ncr:1_{7FFD8B49-A7E3-438A-A96D-5F09B217D508}" xr6:coauthVersionLast="47" xr6:coauthVersionMax="47" xr10:uidLastSave="{00000000-0000-0000-0000-000000000000}"/>
  <bookViews>
    <workbookView xWindow="372" yWindow="180" windowWidth="27228" windowHeight="21804" xr2:uid="{F29755CA-56C7-4287-B0E1-95271A5704F5}"/>
  </bookViews>
  <sheets>
    <sheet name="ReadMe" sheetId="3" r:id="rId1"/>
    <sheet name="Estimator" sheetId="1" r:id="rId2"/>
    <sheet name="Parameters" sheetId="2" r:id="rId3"/>
  </sheets>
  <definedNames>
    <definedName name="EstimateInputFilingStatusCell">Estimator!$G$10</definedName>
    <definedName name="EstimateInputTaxYearCell">Estimator!$C$10</definedName>
    <definedName name="InRangeLabelCell">Parameters!$G$7</definedName>
    <definedName name="MaxIncomeCell">Parameters!$G$11</definedName>
    <definedName name="NotFoundLabelCell">Parameters!$G$9</definedName>
    <definedName name="OutOfRangeLabelCell">Parameters!$G$8</definedName>
    <definedName name="SelectionValidLabelCell">Parameters!$G$10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91" i="2" l="1"/>
  <c r="I291" i="2"/>
  <c r="K290" i="2"/>
  <c r="I290" i="2"/>
  <c r="J288" i="2"/>
  <c r="I288" i="2"/>
  <c r="K287" i="2"/>
  <c r="I287" i="2"/>
  <c r="J285" i="2"/>
  <c r="I285" i="2"/>
  <c r="K284" i="2"/>
  <c r="I284" i="2"/>
  <c r="J282" i="2"/>
  <c r="I282" i="2"/>
  <c r="K281" i="2"/>
  <c r="I281" i="2"/>
  <c r="K247" i="2"/>
  <c r="J247" i="2"/>
  <c r="I247" i="2"/>
  <c r="K245" i="2"/>
  <c r="J245" i="2"/>
  <c r="I245" i="2"/>
  <c r="K243" i="2"/>
  <c r="J243" i="2"/>
  <c r="I243" i="2"/>
  <c r="K241" i="2"/>
  <c r="J241" i="2"/>
  <c r="I241" i="2"/>
  <c r="K215" i="2"/>
  <c r="K214" i="2"/>
  <c r="K213" i="2"/>
  <c r="K212" i="2"/>
  <c r="K211" i="2"/>
  <c r="J195" i="2"/>
  <c r="I195" i="2"/>
  <c r="I194" i="2"/>
  <c r="I193" i="2"/>
  <c r="I192" i="2"/>
  <c r="I191" i="2"/>
  <c r="K190" i="2"/>
  <c r="I190" i="2"/>
  <c r="J188" i="2"/>
  <c r="I188" i="2"/>
  <c r="I187" i="2"/>
  <c r="I186" i="2"/>
  <c r="I185" i="2"/>
  <c r="I184" i="2"/>
  <c r="K183" i="2"/>
  <c r="I183" i="2"/>
  <c r="J181" i="2"/>
  <c r="I181" i="2"/>
  <c r="I180" i="2"/>
  <c r="I179" i="2"/>
  <c r="I178" i="2"/>
  <c r="I177" i="2"/>
  <c r="K176" i="2"/>
  <c r="I176" i="2"/>
  <c r="J174" i="2"/>
  <c r="I174" i="2"/>
  <c r="I173" i="2"/>
  <c r="I172" i="2"/>
  <c r="I171" i="2"/>
  <c r="I170" i="2"/>
  <c r="K169" i="2"/>
  <c r="I169" i="2"/>
  <c r="I103" i="2"/>
  <c r="I102" i="2"/>
  <c r="I101" i="2"/>
  <c r="I100" i="2"/>
  <c r="I99" i="2"/>
  <c r="K83" i="2"/>
  <c r="K82" i="2"/>
  <c r="K81" i="2"/>
  <c r="K80" i="2"/>
  <c r="K79" i="2"/>
  <c r="J63" i="2"/>
  <c r="J62" i="2"/>
  <c r="J61" i="2"/>
  <c r="J60" i="2"/>
  <c r="J59" i="2"/>
  <c r="K43" i="2"/>
  <c r="J43" i="2"/>
  <c r="I43" i="2"/>
  <c r="H43" i="2"/>
  <c r="K41" i="2"/>
  <c r="J41" i="2"/>
  <c r="I41" i="2"/>
  <c r="H41" i="2"/>
  <c r="K39" i="2"/>
  <c r="J39" i="2"/>
  <c r="I39" i="2"/>
  <c r="H39" i="2"/>
  <c r="K37" i="2"/>
  <c r="J37" i="2"/>
  <c r="I37" i="2"/>
  <c r="H37" i="2"/>
  <c r="C22" i="2"/>
  <c r="B49" i="1"/>
  <c r="B109" i="1"/>
  <c r="K277" i="2"/>
  <c r="K274" i="2"/>
  <c r="K271" i="2"/>
  <c r="K268" i="2"/>
  <c r="J278" i="2"/>
  <c r="I278" i="2"/>
  <c r="I277" i="2"/>
  <c r="J275" i="2"/>
  <c r="I275" i="2"/>
  <c r="I274" i="2"/>
  <c r="J272" i="2"/>
  <c r="I272" i="2"/>
  <c r="I271" i="2"/>
  <c r="J269" i="2"/>
  <c r="I269" i="2"/>
  <c r="I268" i="2"/>
  <c r="J265" i="2"/>
  <c r="J262" i="2"/>
  <c r="J259" i="2"/>
  <c r="J256" i="2"/>
  <c r="I255" i="2"/>
  <c r="I265" i="2"/>
  <c r="K264" i="2"/>
  <c r="I264" i="2"/>
  <c r="I262" i="2"/>
  <c r="K261" i="2"/>
  <c r="I261" i="2"/>
  <c r="I259" i="2"/>
  <c r="K258" i="2"/>
  <c r="I258" i="2"/>
  <c r="I256" i="2"/>
  <c r="K255" i="2"/>
  <c r="H251" i="2"/>
  <c r="D49" i="1"/>
  <c r="D120" i="1"/>
  <c r="D109" i="1"/>
  <c r="D129" i="1"/>
  <c r="D118" i="1"/>
  <c r="F251" i="2"/>
  <c r="D113" i="1"/>
  <c r="D125" i="1"/>
  <c r="D50" i="1"/>
  <c r="D51" i="1"/>
  <c r="D52" i="1"/>
  <c r="D110" i="1"/>
  <c r="D127" i="1"/>
  <c r="K285" i="2" l="1"/>
  <c r="K282" i="2"/>
  <c r="K288" i="2"/>
  <c r="K291" i="2"/>
  <c r="K177" i="2"/>
  <c r="K178" i="2" s="1"/>
  <c r="K179" i="2" s="1"/>
  <c r="K180" i="2" s="1"/>
  <c r="K181" i="2" s="1"/>
  <c r="K191" i="2"/>
  <c r="K192" i="2" s="1"/>
  <c r="K193" i="2" s="1"/>
  <c r="K194" i="2" s="1"/>
  <c r="K195" i="2" s="1"/>
  <c r="K184" i="2"/>
  <c r="K185" i="2" s="1"/>
  <c r="K186" i="2" s="1"/>
  <c r="K187" i="2" s="1"/>
  <c r="K188" i="2" s="1"/>
  <c r="K170" i="2"/>
  <c r="K171" i="2" s="1"/>
  <c r="K172" i="2" s="1"/>
  <c r="K173" i="2" s="1"/>
  <c r="K174" i="2" s="1"/>
  <c r="K269" i="2"/>
  <c r="K275" i="2"/>
  <c r="K278" i="2"/>
  <c r="K272" i="2"/>
  <c r="K259" i="2"/>
  <c r="K265" i="2"/>
  <c r="K262" i="2"/>
  <c r="K256" i="2"/>
  <c r="K202" i="2"/>
  <c r="K203" i="2"/>
  <c r="K204" i="2"/>
  <c r="K205" i="2"/>
  <c r="K206" i="2"/>
  <c r="K207" i="2"/>
  <c r="K208" i="2"/>
  <c r="K209" i="2"/>
  <c r="K210" i="2"/>
  <c r="I90" i="2"/>
  <c r="I91" i="2"/>
  <c r="I92" i="2"/>
  <c r="I93" i="2"/>
  <c r="I94" i="2"/>
  <c r="I95" i="2"/>
  <c r="I96" i="2"/>
  <c r="I97" i="2"/>
  <c r="I98" i="2"/>
  <c r="K70" i="2"/>
  <c r="K71" i="2"/>
  <c r="K72" i="2"/>
  <c r="K73" i="2"/>
  <c r="K74" i="2"/>
  <c r="K75" i="2"/>
  <c r="K76" i="2"/>
  <c r="K77" i="2"/>
  <c r="K78" i="2"/>
  <c r="J50" i="2"/>
  <c r="J51" i="2"/>
  <c r="J52" i="2"/>
  <c r="J53" i="2"/>
  <c r="J54" i="2"/>
  <c r="J55" i="2"/>
  <c r="J56" i="2"/>
  <c r="J57" i="2"/>
  <c r="J58" i="2"/>
  <c r="K223" i="2"/>
  <c r="J223" i="2"/>
  <c r="K238" i="2"/>
  <c r="J238" i="2"/>
  <c r="I238" i="2"/>
  <c r="K236" i="2"/>
  <c r="J236" i="2"/>
  <c r="I236" i="2"/>
  <c r="K234" i="2"/>
  <c r="J234" i="2"/>
  <c r="I234" i="2"/>
  <c r="K232" i="2"/>
  <c r="J232" i="2"/>
  <c r="I232" i="2"/>
  <c r="K229" i="2"/>
  <c r="J229" i="2"/>
  <c r="I229" i="2"/>
  <c r="K227" i="2"/>
  <c r="J227" i="2"/>
  <c r="I227" i="2"/>
  <c r="K225" i="2"/>
  <c r="J225" i="2"/>
  <c r="I225" i="2"/>
  <c r="I223" i="2"/>
  <c r="H219" i="2"/>
  <c r="H199" i="2"/>
  <c r="F82" i="1"/>
  <c r="F79" i="1"/>
  <c r="F78" i="1"/>
  <c r="F77" i="1"/>
  <c r="B48" i="1"/>
  <c r="B51" i="1"/>
  <c r="B52" i="1"/>
  <c r="B50" i="1"/>
  <c r="J80" i="1"/>
  <c r="J78" i="1"/>
  <c r="J77" i="1"/>
  <c r="J166" i="2"/>
  <c r="I166" i="2"/>
  <c r="I165" i="2"/>
  <c r="I164" i="2"/>
  <c r="I163" i="2"/>
  <c r="I162" i="2"/>
  <c r="K161" i="2"/>
  <c r="I161" i="2"/>
  <c r="J159" i="2"/>
  <c r="I159" i="2"/>
  <c r="I158" i="2"/>
  <c r="I157" i="2"/>
  <c r="I156" i="2"/>
  <c r="I155" i="2"/>
  <c r="K154" i="2"/>
  <c r="I154" i="2"/>
  <c r="J152" i="2"/>
  <c r="I152" i="2"/>
  <c r="I151" i="2"/>
  <c r="I150" i="2"/>
  <c r="I149" i="2"/>
  <c r="I148" i="2"/>
  <c r="K147" i="2"/>
  <c r="I147" i="2"/>
  <c r="J145" i="2"/>
  <c r="I145" i="2"/>
  <c r="I144" i="2"/>
  <c r="I143" i="2"/>
  <c r="I142" i="2"/>
  <c r="I141" i="2"/>
  <c r="K140" i="2"/>
  <c r="I140" i="2"/>
  <c r="J123" i="2"/>
  <c r="J137" i="2"/>
  <c r="I137" i="2"/>
  <c r="I136" i="2"/>
  <c r="I135" i="2"/>
  <c r="I134" i="2"/>
  <c r="I133" i="2"/>
  <c r="K132" i="2"/>
  <c r="I132" i="2"/>
  <c r="J130" i="2"/>
  <c r="I130" i="2"/>
  <c r="I129" i="2"/>
  <c r="I128" i="2"/>
  <c r="I127" i="2"/>
  <c r="I126" i="2"/>
  <c r="K125" i="2"/>
  <c r="I125" i="2"/>
  <c r="I123" i="2"/>
  <c r="I122" i="2"/>
  <c r="I121" i="2"/>
  <c r="I120" i="2"/>
  <c r="I119" i="2"/>
  <c r="K118" i="2"/>
  <c r="I118" i="2"/>
  <c r="K111" i="2"/>
  <c r="J116" i="2"/>
  <c r="I116" i="2"/>
  <c r="I114" i="2"/>
  <c r="I112" i="2"/>
  <c r="I115" i="2"/>
  <c r="I113" i="2"/>
  <c r="I111" i="2"/>
  <c r="H107" i="2"/>
  <c r="F48" i="1"/>
  <c r="F47" i="1"/>
  <c r="B83" i="1"/>
  <c r="B82" i="1"/>
  <c r="B79" i="1"/>
  <c r="B78" i="1"/>
  <c r="B77" i="1"/>
  <c r="H87" i="2"/>
  <c r="B38" i="1"/>
  <c r="B37" i="1"/>
  <c r="B36" i="1"/>
  <c r="B35" i="1"/>
  <c r="F39" i="1"/>
  <c r="F38" i="1"/>
  <c r="F37" i="1"/>
  <c r="F36" i="1"/>
  <c r="F35" i="1"/>
  <c r="H47" i="2"/>
  <c r="C10" i="2"/>
  <c r="C11" i="2"/>
  <c r="C12" i="2"/>
  <c r="C13" i="2"/>
  <c r="C20" i="2"/>
  <c r="C21" i="2"/>
  <c r="G18" i="1"/>
  <c r="G39" i="1" s="1"/>
  <c r="K27" i="1"/>
  <c r="L27" i="1" s="1"/>
  <c r="G27" i="1"/>
  <c r="C109" i="1" s="1"/>
  <c r="C27" i="1"/>
  <c r="C36" i="1" s="1"/>
  <c r="I34" i="2"/>
  <c r="I32" i="2"/>
  <c r="I30" i="2"/>
  <c r="I28" i="2"/>
  <c r="I25" i="2"/>
  <c r="I23" i="2"/>
  <c r="I21" i="2"/>
  <c r="I19" i="2"/>
  <c r="H67" i="2"/>
  <c r="K34" i="2"/>
  <c r="J34" i="2"/>
  <c r="H34" i="2"/>
  <c r="K32" i="2"/>
  <c r="J32" i="2"/>
  <c r="H32" i="2"/>
  <c r="K30" i="2"/>
  <c r="J30" i="2"/>
  <c r="H30" i="2"/>
  <c r="K28" i="2"/>
  <c r="J28" i="2"/>
  <c r="H28" i="2"/>
  <c r="K25" i="2"/>
  <c r="K23" i="2"/>
  <c r="J25" i="2"/>
  <c r="J23" i="2"/>
  <c r="H25" i="2"/>
  <c r="H23" i="2"/>
  <c r="D17" i="2"/>
  <c r="H105" i="1"/>
  <c r="H89" i="1" a="1"/>
  <c r="F199" i="2"/>
  <c r="H87" i="1" a="1"/>
  <c r="B7" i="2"/>
  <c r="D69" i="1"/>
  <c r="D79" i="1"/>
  <c r="H38" i="1"/>
  <c r="H37" i="1"/>
  <c r="H65" i="1"/>
  <c r="L78" i="1"/>
  <c r="H82" i="1"/>
  <c r="D38" i="1"/>
  <c r="D78" i="1"/>
  <c r="H35" i="1"/>
  <c r="B17" i="2"/>
  <c r="H88" i="1" a="1"/>
  <c r="D96" i="1"/>
  <c r="D48" i="1"/>
  <c r="F219" i="2"/>
  <c r="L77" i="1"/>
  <c r="F47" i="2"/>
  <c r="H36" i="1"/>
  <c r="H47" i="1"/>
  <c r="H78" i="1"/>
  <c r="H50" i="1"/>
  <c r="H79" i="1"/>
  <c r="H103" i="1"/>
  <c r="H77" i="1"/>
  <c r="D77" i="1"/>
  <c r="L66" i="1"/>
  <c r="D36" i="1"/>
  <c r="L80" i="1"/>
  <c r="H62" i="1"/>
  <c r="D82" i="1"/>
  <c r="D35" i="1"/>
  <c r="F15" i="2"/>
  <c r="D61" i="1"/>
  <c r="H39" i="1"/>
  <c r="D94" i="1"/>
  <c r="H49" i="1"/>
  <c r="F67" i="2"/>
  <c r="H106" i="1"/>
  <c r="L64" i="1"/>
  <c r="F107" i="2"/>
  <c r="F87" i="2"/>
  <c r="D97" i="1"/>
  <c r="D83" i="1"/>
  <c r="D37" i="1"/>
  <c r="H89" i="1" l="1"/>
  <c r="G89" i="1"/>
  <c r="H27" i="1"/>
  <c r="G78" i="1"/>
  <c r="K141" i="2"/>
  <c r="K142" i="2" s="1"/>
  <c r="K143" i="2" s="1"/>
  <c r="K144" i="2" s="1"/>
  <c r="K145" i="2" s="1"/>
  <c r="K112" i="2"/>
  <c r="K113" i="2" s="1"/>
  <c r="K114" i="2" s="1"/>
  <c r="K115" i="2" s="1"/>
  <c r="K116" i="2" s="1"/>
  <c r="G79" i="1"/>
  <c r="G82" i="1"/>
  <c r="G83" i="1" s="1"/>
  <c r="C78" i="1"/>
  <c r="C79" i="1"/>
  <c r="C82" i="1"/>
  <c r="H18" i="1"/>
  <c r="K148" i="2"/>
  <c r="K149" i="2" s="1"/>
  <c r="K150" i="2" s="1"/>
  <c r="K151" i="2" s="1"/>
  <c r="K152" i="2" s="1"/>
  <c r="K133" i="2"/>
  <c r="K134" i="2" s="1"/>
  <c r="K135" i="2" s="1"/>
  <c r="K136" i="2" s="1"/>
  <c r="K137" i="2" s="1"/>
  <c r="K155" i="2"/>
  <c r="K156" i="2" s="1"/>
  <c r="K157" i="2" s="1"/>
  <c r="K158" i="2" s="1"/>
  <c r="K159" i="2" s="1"/>
  <c r="K119" i="2"/>
  <c r="K120" i="2" s="1"/>
  <c r="K121" i="2" s="1"/>
  <c r="K122" i="2" s="1"/>
  <c r="K123" i="2" s="1"/>
  <c r="K162" i="2"/>
  <c r="K163" i="2" s="1"/>
  <c r="K164" i="2" s="1"/>
  <c r="K165" i="2" s="1"/>
  <c r="K166" i="2" s="1"/>
  <c r="K126" i="2"/>
  <c r="K127" i="2" s="1"/>
  <c r="K128" i="2" s="1"/>
  <c r="K129" i="2" s="1"/>
  <c r="K130" i="2" s="1"/>
  <c r="H88" i="1"/>
  <c r="H87" i="1"/>
  <c r="D27" i="1"/>
  <c r="G36" i="1"/>
  <c r="G38" i="1"/>
  <c r="C37" i="1"/>
  <c r="G37" i="1"/>
  <c r="C38" i="1"/>
  <c r="G61" i="1"/>
  <c r="H61" i="1" s="1"/>
  <c r="C18" i="2"/>
  <c r="K21" i="2"/>
  <c r="J21" i="2"/>
  <c r="J19" i="2"/>
  <c r="H21" i="2"/>
  <c r="K19" i="2"/>
  <c r="H19" i="2"/>
  <c r="H15" i="2"/>
  <c r="D7" i="2"/>
  <c r="C18" i="1" l="1"/>
  <c r="C61" i="1" l="1"/>
  <c r="C77" i="1"/>
  <c r="C80" i="1" s="1"/>
  <c r="G77" i="1"/>
  <c r="G80" i="1" s="1"/>
  <c r="G85" i="1" s="1"/>
  <c r="G35" i="1"/>
  <c r="G40" i="1" s="1"/>
  <c r="H40" i="1" s="1"/>
  <c r="C35" i="1"/>
  <c r="D18" i="1"/>
  <c r="L20" i="2" l="1"/>
  <c r="L36" i="2"/>
  <c r="L40" i="2"/>
  <c r="L42" i="2"/>
  <c r="L35" i="2"/>
  <c r="L38" i="2"/>
  <c r="L39" i="2"/>
  <c r="L43" i="2"/>
  <c r="L37" i="2"/>
  <c r="L41" i="2"/>
  <c r="C39" i="1"/>
  <c r="D39" i="1" s="1"/>
  <c r="L22" i="2"/>
  <c r="L27" i="2"/>
  <c r="L19" i="2"/>
  <c r="L30" i="2"/>
  <c r="L32" i="2"/>
  <c r="L23" i="2"/>
  <c r="L21" i="2"/>
  <c r="L26" i="2"/>
  <c r="L34" i="2"/>
  <c r="L33" i="2"/>
  <c r="L18" i="2"/>
  <c r="L25" i="2"/>
  <c r="L28" i="2"/>
  <c r="L29" i="2"/>
  <c r="L24" i="2"/>
  <c r="L31" i="2"/>
  <c r="C8" i="2"/>
  <c r="H64" i="1" a="1"/>
  <c r="L61" i="1" a="1"/>
  <c r="L63" i="1" a="1"/>
  <c r="D66" i="1" a="1"/>
  <c r="H67" i="1" a="1"/>
  <c r="D63" i="1" a="1"/>
  <c r="D64" i="1" a="1"/>
  <c r="G62" i="1" l="1"/>
  <c r="G47" i="1"/>
  <c r="C64" i="1"/>
  <c r="D66" i="1"/>
  <c r="D64" i="1"/>
  <c r="D63" i="1"/>
  <c r="L63" i="1"/>
  <c r="L61" i="1"/>
  <c r="H67" i="1"/>
  <c r="H64" i="1"/>
  <c r="G88" i="1"/>
  <c r="G87" i="1"/>
  <c r="K200" i="2"/>
  <c r="K16" i="1"/>
  <c r="K18" i="1" s="1"/>
  <c r="C83" i="1" s="1"/>
  <c r="I88" i="2"/>
  <c r="K63" i="1"/>
  <c r="K61" i="1"/>
  <c r="K64" i="1" s="1"/>
  <c r="G67" i="1"/>
  <c r="C63" i="1"/>
  <c r="K68" i="2"/>
  <c r="G64" i="1"/>
  <c r="C66" i="1"/>
  <c r="L16" i="2"/>
  <c r="J48" i="2"/>
  <c r="G65" i="1" l="1"/>
  <c r="G68" i="1" s="1"/>
  <c r="G91" i="1"/>
  <c r="C84" i="1"/>
  <c r="C110" i="1" s="1"/>
  <c r="C111" i="1" s="1"/>
  <c r="K66" i="1"/>
  <c r="C50" i="1" s="1"/>
  <c r="C67" i="1"/>
  <c r="C86" i="1" l="1"/>
  <c r="G92" i="1"/>
  <c r="G93" i="1" s="1"/>
  <c r="G95" i="1" s="1"/>
  <c r="G70" i="1"/>
  <c r="C52" i="1" s="1"/>
  <c r="C69" i="1"/>
  <c r="C51" i="1" s="1"/>
  <c r="C113" i="1" l="1"/>
  <c r="C120" i="1" s="1"/>
  <c r="L115" i="2"/>
  <c r="L123" i="2"/>
  <c r="L131" i="2"/>
  <c r="L139" i="2"/>
  <c r="L147" i="2"/>
  <c r="L155" i="2"/>
  <c r="L163" i="2"/>
  <c r="L171" i="2"/>
  <c r="L179" i="2"/>
  <c r="L187" i="2"/>
  <c r="L195" i="2"/>
  <c r="L172" i="2"/>
  <c r="L188" i="2"/>
  <c r="L162" i="2"/>
  <c r="L116" i="2"/>
  <c r="L124" i="2"/>
  <c r="L132" i="2"/>
  <c r="L140" i="2"/>
  <c r="L148" i="2"/>
  <c r="L156" i="2"/>
  <c r="L164" i="2"/>
  <c r="L180" i="2"/>
  <c r="L146" i="2"/>
  <c r="L194" i="2"/>
  <c r="L117" i="2"/>
  <c r="L125" i="2"/>
  <c r="L133" i="2"/>
  <c r="L141" i="2"/>
  <c r="L149" i="2"/>
  <c r="L157" i="2"/>
  <c r="L165" i="2"/>
  <c r="L173" i="2"/>
  <c r="L181" i="2"/>
  <c r="L189" i="2"/>
  <c r="L182" i="2"/>
  <c r="L122" i="2"/>
  <c r="L178" i="2"/>
  <c r="L110" i="2"/>
  <c r="L118" i="2"/>
  <c r="L126" i="2"/>
  <c r="L134" i="2"/>
  <c r="L142" i="2"/>
  <c r="L150" i="2"/>
  <c r="L158" i="2"/>
  <c r="L166" i="2"/>
  <c r="L174" i="2"/>
  <c r="L190" i="2"/>
  <c r="L138" i="2"/>
  <c r="L111" i="2"/>
  <c r="L119" i="2"/>
  <c r="L127" i="2"/>
  <c r="L135" i="2"/>
  <c r="L143" i="2"/>
  <c r="L151" i="2"/>
  <c r="L159" i="2"/>
  <c r="L167" i="2"/>
  <c r="L175" i="2"/>
  <c r="L183" i="2"/>
  <c r="L191" i="2"/>
  <c r="L130" i="2"/>
  <c r="L186" i="2"/>
  <c r="L112" i="2"/>
  <c r="L120" i="2"/>
  <c r="C89" i="1" s="1"/>
  <c r="L128" i="2"/>
  <c r="L136" i="2"/>
  <c r="L144" i="2"/>
  <c r="L152" i="2"/>
  <c r="L160" i="2"/>
  <c r="L168" i="2"/>
  <c r="L176" i="2"/>
  <c r="L184" i="2"/>
  <c r="L192" i="2"/>
  <c r="L154" i="2"/>
  <c r="L113" i="2"/>
  <c r="L121" i="2"/>
  <c r="L129" i="2"/>
  <c r="L137" i="2"/>
  <c r="L145" i="2"/>
  <c r="L153" i="2"/>
  <c r="L161" i="2"/>
  <c r="L169" i="2"/>
  <c r="L177" i="2"/>
  <c r="L185" i="2"/>
  <c r="L193" i="2"/>
  <c r="L114" i="2"/>
  <c r="L170" i="2"/>
  <c r="L254" i="2"/>
  <c r="L255" i="2"/>
  <c r="L263" i="2"/>
  <c r="L271" i="2"/>
  <c r="L287" i="2"/>
  <c r="L256" i="2"/>
  <c r="L264" i="2"/>
  <c r="L272" i="2"/>
  <c r="L280" i="2"/>
  <c r="L288" i="2"/>
  <c r="L267" i="2"/>
  <c r="L260" i="2"/>
  <c r="L257" i="2"/>
  <c r="L265" i="2"/>
  <c r="L273" i="2"/>
  <c r="L281" i="2"/>
  <c r="L289" i="2"/>
  <c r="L259" i="2"/>
  <c r="L283" i="2"/>
  <c r="L268" i="2"/>
  <c r="L284" i="2"/>
  <c r="L258" i="2"/>
  <c r="L266" i="2"/>
  <c r="L274" i="2"/>
  <c r="L282" i="2"/>
  <c r="L290" i="2"/>
  <c r="L275" i="2"/>
  <c r="L291" i="2"/>
  <c r="L276" i="2"/>
  <c r="L261" i="2"/>
  <c r="L269" i="2"/>
  <c r="L277" i="2"/>
  <c r="L285" i="2"/>
  <c r="L262" i="2"/>
  <c r="L270" i="2"/>
  <c r="L278" i="2"/>
  <c r="L286" i="2"/>
  <c r="L279" i="2"/>
  <c r="L241" i="2"/>
  <c r="L224" i="2"/>
  <c r="L227" i="2"/>
  <c r="L223" i="2"/>
  <c r="L245" i="2"/>
  <c r="L232" i="2"/>
  <c r="L235" i="2"/>
  <c r="L239" i="2"/>
  <c r="L237" i="2"/>
  <c r="L236" i="2"/>
  <c r="L247" i="2"/>
  <c r="L243" i="2"/>
  <c r="L222" i="2"/>
  <c r="L233" i="2"/>
  <c r="L228" i="2"/>
  <c r="L231" i="2"/>
  <c r="L234" i="2"/>
  <c r="L242" i="2"/>
  <c r="L244" i="2"/>
  <c r="L230" i="2"/>
  <c r="L229" i="2"/>
  <c r="L226" i="2"/>
  <c r="G100" i="1" s="1"/>
  <c r="L246" i="2"/>
  <c r="L240" i="2"/>
  <c r="L238" i="2"/>
  <c r="L225" i="2"/>
  <c r="C88" i="1"/>
  <c r="D89" i="1" a="1"/>
  <c r="H98" i="1" a="1"/>
  <c r="D88" i="1" a="1"/>
  <c r="H100" i="1" a="1"/>
  <c r="D91" i="1" a="1"/>
  <c r="D115" i="1" a="1"/>
  <c r="H97" i="1" a="1"/>
  <c r="D114" i="1" a="1"/>
  <c r="D116" i="1" a="1"/>
  <c r="C91" i="1" l="1"/>
  <c r="L108" i="2"/>
  <c r="M256" i="2"/>
  <c r="M254" i="2"/>
  <c r="M267" i="2"/>
  <c r="M279" i="2"/>
  <c r="M255" i="2"/>
  <c r="M269" i="2"/>
  <c r="M281" i="2"/>
  <c r="M257" i="2"/>
  <c r="M270" i="2"/>
  <c r="M283" i="2"/>
  <c r="M259" i="2"/>
  <c r="M271" i="2"/>
  <c r="M285" i="2"/>
  <c r="M261" i="2"/>
  <c r="M273" i="2"/>
  <c r="M286" i="2"/>
  <c r="M278" i="2"/>
  <c r="M262" i="2"/>
  <c r="M275" i="2"/>
  <c r="M287" i="2"/>
  <c r="M291" i="2"/>
  <c r="M263" i="2"/>
  <c r="M277" i="2"/>
  <c r="M289" i="2"/>
  <c r="M265" i="2"/>
  <c r="M284" i="2"/>
  <c r="M258" i="2"/>
  <c r="M264" i="2"/>
  <c r="M276" i="2"/>
  <c r="M288" i="2"/>
  <c r="M282" i="2"/>
  <c r="M268" i="2"/>
  <c r="M280" i="2"/>
  <c r="M274" i="2"/>
  <c r="M260" i="2"/>
  <c r="M272" i="2"/>
  <c r="M290" i="2"/>
  <c r="M266" i="2"/>
  <c r="D91" i="1"/>
  <c r="D88" i="1"/>
  <c r="D89" i="1"/>
  <c r="C114" i="1"/>
  <c r="L220" i="2"/>
  <c r="H97" i="1"/>
  <c r="H98" i="1"/>
  <c r="H100" i="1"/>
  <c r="G97" i="1"/>
  <c r="G98" i="1"/>
  <c r="L252" i="2"/>
  <c r="C115" i="1"/>
  <c r="D116" i="1"/>
  <c r="D115" i="1"/>
  <c r="D114" i="1"/>
  <c r="C116" i="1"/>
  <c r="G101" i="1"/>
  <c r="G103" i="1" s="1"/>
  <c r="C92" i="1"/>
  <c r="C94" i="1" s="1"/>
  <c r="D123" i="1" a="1"/>
  <c r="D122" i="1" a="1"/>
  <c r="D121" i="1" a="1"/>
  <c r="G105" i="1" l="1"/>
  <c r="G106" i="1"/>
  <c r="C97" i="1"/>
  <c r="C96" i="1"/>
  <c r="M252" i="2"/>
  <c r="D122" i="1"/>
  <c r="D123" i="1"/>
  <c r="D121" i="1"/>
  <c r="C121" i="1"/>
  <c r="C122" i="1"/>
  <c r="C123" i="1"/>
  <c r="C117" i="1"/>
  <c r="C118" i="1" s="1"/>
  <c r="K78" i="1"/>
  <c r="K77" i="1"/>
  <c r="C124" i="1" l="1"/>
  <c r="C125" i="1" s="1"/>
  <c r="C127" i="1" s="1"/>
  <c r="K80" i="1"/>
  <c r="C48" i="1" s="1"/>
  <c r="C129" i="1" l="1"/>
  <c r="C49" i="1"/>
  <c r="C53" i="1" s="1"/>
  <c r="G48" i="1" l="1"/>
  <c r="G49" i="1" s="1"/>
  <c r="G50"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<sst xmlns="http://schemas.openxmlformats.org/spreadsheetml/2006/main" count="448" uniqueCount="169">
  <si>
    <t>Instructions</t>
  </si>
  <si>
    <r>
      <rPr>
        <sz val="11"/>
        <color rgb="FF000000"/>
        <rFont val="Aptos Narrow"/>
        <scheme val="minor"/>
      </rPr>
      <t xml:space="preserve">Detailed </t>
    </r>
    <r>
      <rPr>
        <b/>
        <sz val="11"/>
        <color rgb="FF000000"/>
        <rFont val="Aptos Narrow"/>
        <scheme val="minor"/>
      </rPr>
      <t>usage instructions</t>
    </r>
    <r>
      <rPr>
        <sz val="11"/>
        <color rgb="FF000000"/>
        <rFont val="Aptos Narrow"/>
        <scheme val="minor"/>
      </rPr>
      <t xml:space="preserve">, </t>
    </r>
    <r>
      <rPr>
        <b/>
        <sz val="11"/>
        <color rgb="FF000000"/>
        <rFont val="Aptos Narrow"/>
        <scheme val="minor"/>
      </rPr>
      <t>latest version</t>
    </r>
    <r>
      <rPr>
        <sz val="11"/>
        <color rgb="FF000000"/>
        <rFont val="Aptos Narrow"/>
        <scheme val="minor"/>
      </rPr>
      <t xml:space="preserve"> of this calculator and </t>
    </r>
    <r>
      <rPr>
        <b/>
        <sz val="11"/>
        <color rgb="FF000000"/>
        <rFont val="Aptos Narrow"/>
        <scheme val="minor"/>
      </rPr>
      <t>additional info</t>
    </r>
    <r>
      <rPr>
        <sz val="11"/>
        <color rgb="FF000000"/>
        <rFont val="Aptos Narrow"/>
        <scheme val="minor"/>
      </rPr>
      <t>:</t>
    </r>
  </si>
  <si>
    <t>https://macrogreg.github.io/Combined-Income-Tax-Estimator/</t>
  </si>
  <si>
    <t xml:space="preserve">Purpose </t>
  </si>
  <si>
    <r>
      <rPr>
        <sz val="11"/>
        <color rgb="FF000000"/>
        <rFont val="Aptos Narrow"/>
        <scheme val="minor"/>
      </rPr>
      <t xml:space="preserve">This calculator </t>
    </r>
    <r>
      <rPr>
        <u/>
        <sz val="11"/>
        <color rgb="FF000000"/>
        <rFont val="Aptos Narrow"/>
        <scheme val="minor"/>
      </rPr>
      <t>quickly</t>
    </r>
    <r>
      <rPr>
        <sz val="11"/>
        <color rgb="FF000000"/>
        <rFont val="Aptos Narrow"/>
        <scheme val="minor"/>
      </rPr>
      <t xml:space="preserve"> estimates your total federal tax liability.
It properly combines the </t>
    </r>
    <r>
      <rPr>
        <u/>
        <sz val="11"/>
        <color rgb="FF000000"/>
        <rFont val="Aptos Narrow"/>
        <scheme val="minor"/>
      </rPr>
      <t>most common tax types</t>
    </r>
    <r>
      <rPr>
        <sz val="11"/>
        <color rgb="FF000000"/>
        <rFont val="Aptos Narrow"/>
        <scheme val="minor"/>
      </rPr>
      <t xml:space="preserve"> for employed individuals </t>
    </r>
    <r>
      <rPr>
        <u/>
        <sz val="11"/>
        <color rgb="FF000000"/>
        <rFont val="Aptos Narrow"/>
        <scheme val="minor"/>
      </rPr>
      <t>in one place</t>
    </r>
    <r>
      <rPr>
        <sz val="11"/>
        <color rgb="FF000000"/>
        <rFont val="Aptos Narrow"/>
        <scheme val="minor"/>
      </rPr>
      <t xml:space="preserve">.
Most other tax estimators focus only on one tax type (e.g., federal income tax only), or ask a ton of detailed questions that take forever to answer.
Included:
  - Federal Income Tax (including Alternative Minimum Tax (AMT))
  - Long-Term Capital Gains Tax
  - Social Security Tax
  - Medicare Taxes (including Additional Medicare Tax and NIIT)
</t>
    </r>
    <r>
      <rPr>
        <b/>
        <sz val="11"/>
        <color rgb="FF000000"/>
        <rFont val="Aptos Narrow"/>
        <scheme val="minor"/>
      </rPr>
      <t>Philosophy:</t>
    </r>
    <r>
      <rPr>
        <sz val="11"/>
        <color rgb="FF000000"/>
        <rFont val="Aptos Narrow"/>
        <scheme val="minor"/>
      </rPr>
      <t xml:space="preserve"> This is an estimation tool. It intentionally omits some deductions to keep things simple.
It's better to slightly overestimate (and get a refund) than underestimate (and face penalties).</t>
    </r>
  </si>
  <si>
    <t>How to use</t>
  </si>
  <si>
    <t>Detailed step-by-step instructions:</t>
  </si>
  <si>
    <r>
      <rPr>
        <b/>
        <sz val="11"/>
        <color rgb="FF000000"/>
        <rFont val="Aptos Narrow"/>
        <scheme val="minor"/>
      </rPr>
      <t xml:space="preserve">TLDR:
</t>
    </r>
    <r>
      <rPr>
        <sz val="11"/>
        <color rgb="FF000000"/>
        <rFont val="Aptos Narrow"/>
        <scheme val="minor"/>
      </rPr>
      <t xml:space="preserve">
</t>
    </r>
    <r>
      <rPr>
        <b/>
        <sz val="11"/>
        <color rgb="FF000000"/>
        <rFont val="Aptos Narrow"/>
        <scheme val="minor"/>
      </rPr>
      <t>1. Get your own private copy of the calculator</t>
    </r>
    <r>
      <rPr>
        <sz val="11"/>
        <color rgb="FF000000"/>
        <rFont val="Aptos Narrow"/>
        <scheme val="minor"/>
      </rPr>
      <t xml:space="preserve"> (skip if already downloaded)</t>
    </r>
    <r>
      <rPr>
        <b/>
        <sz val="11"/>
        <color rgb="FF000000"/>
        <rFont val="Aptos Narrow"/>
        <scheme val="minor"/>
      </rPr>
      <t xml:space="preserve">.
</t>
    </r>
    <r>
      <rPr>
        <sz val="9"/>
        <color rgb="FF000000"/>
        <rFont val="Aptos Narrow"/>
        <scheme val="minor"/>
      </rPr>
      <t xml:space="preserve">      Click </t>
    </r>
    <r>
      <rPr>
        <b/>
        <sz val="9"/>
        <color rgb="FF000000"/>
        <rFont val="Aptos Narrow"/>
        <scheme val="minor"/>
      </rPr>
      <t>File</t>
    </r>
    <r>
      <rPr>
        <sz val="9"/>
        <color rgb="FF000000"/>
        <rFont val="Aptos Narrow"/>
        <scheme val="minor"/>
      </rPr>
      <t xml:space="preserve"> &gt; </t>
    </r>
    <r>
      <rPr>
        <b/>
        <sz val="9"/>
        <color rgb="FF000000"/>
        <rFont val="Aptos Narrow"/>
        <scheme val="minor"/>
      </rPr>
      <t>Create a Copy</t>
    </r>
    <r>
      <rPr>
        <sz val="9"/>
        <color rgb="FF000000"/>
        <rFont val="Aptos Narrow"/>
        <scheme val="minor"/>
      </rPr>
      <t xml:space="preserve"> &gt; </t>
    </r>
    <r>
      <rPr>
        <b/>
        <sz val="9"/>
        <color rgb="FF000000"/>
        <rFont val="Aptos Narrow"/>
        <scheme val="minor"/>
      </rPr>
      <t>Download a Copy</t>
    </r>
    <r>
      <rPr>
        <sz val="9"/>
        <color rgb="FF000000"/>
        <rFont val="Aptos Narrow"/>
        <scheme val="minor"/>
      </rPr>
      <t xml:space="preserve"> (desktop) or </t>
    </r>
    <r>
      <rPr>
        <b/>
        <sz val="9"/>
        <color rgb="FF000000"/>
        <rFont val="Aptos Narrow"/>
        <scheme val="minor"/>
      </rPr>
      <t>Create a copy online</t>
    </r>
    <r>
      <rPr>
        <sz val="9"/>
        <color rgb="FF000000"/>
        <rFont val="Aptos Narrow"/>
        <scheme val="minor"/>
      </rPr>
      <t xml:space="preserve"> (web).
</t>
    </r>
    <r>
      <rPr>
        <sz val="11"/>
        <color rgb="FF000000"/>
        <rFont val="Aptos Narrow"/>
        <scheme val="minor"/>
      </rPr>
      <t xml:space="preserve">    
</t>
    </r>
    <r>
      <rPr>
        <b/>
        <sz val="11"/>
        <color rgb="FF000000"/>
        <rFont val="Aptos Narrow"/>
        <scheme val="minor"/>
      </rPr>
      <t xml:space="preserve">2. Enter your Tax Status and Income </t>
    </r>
    <r>
      <rPr>
        <sz val="11"/>
        <color rgb="FF000000"/>
        <rFont val="Aptos Narrow"/>
        <scheme val="minor"/>
      </rPr>
      <t>('</t>
    </r>
    <r>
      <rPr>
        <b/>
        <sz val="11"/>
        <color rgb="FF000000"/>
        <rFont val="Aptos Narrow"/>
        <scheme val="minor"/>
      </rPr>
      <t>Estimator</t>
    </r>
    <r>
      <rPr>
        <sz val="11"/>
        <color rgb="FF000000"/>
        <rFont val="Aptos Narrow"/>
        <scheme val="minor"/>
      </rPr>
      <t>' tab)</t>
    </r>
    <r>
      <rPr>
        <b/>
        <sz val="11"/>
        <color rgb="FF000000"/>
        <rFont val="Aptos Narrow"/>
        <scheme val="minor"/>
      </rPr>
      <t xml:space="preserve">.
</t>
    </r>
    <r>
      <rPr>
        <sz val="11"/>
        <color rgb="FF000000"/>
        <rFont val="Aptos Narrow"/>
        <scheme val="minor"/>
      </rPr>
      <t xml:space="preserve">
</t>
    </r>
    <r>
      <rPr>
        <b/>
        <sz val="11"/>
        <color rgb="FF000000"/>
        <rFont val="Aptos Narrow"/>
        <scheme val="minor"/>
      </rPr>
      <t xml:space="preserve">3. Review rour Results </t>
    </r>
    <r>
      <rPr>
        <sz val="11"/>
        <color rgb="FF000000"/>
        <rFont val="Aptos Narrow"/>
        <scheme val="minor"/>
      </rPr>
      <t>('</t>
    </r>
    <r>
      <rPr>
        <b/>
        <sz val="11"/>
        <color rgb="FF000000"/>
        <rFont val="Aptos Narrow"/>
        <scheme val="minor"/>
      </rPr>
      <t>Estimator</t>
    </r>
    <r>
      <rPr>
        <sz val="11"/>
        <color rgb="FF000000"/>
        <rFont val="Aptos Narrow"/>
        <scheme val="minor"/>
      </rPr>
      <t>' tab)</t>
    </r>
    <r>
      <rPr>
        <b/>
        <sz val="11"/>
        <color rgb="FF000000"/>
        <rFont val="Aptos Narrow"/>
        <scheme val="minor"/>
      </rPr>
      <t xml:space="preserve">.
</t>
    </r>
  </si>
  <si>
    <t>Detailed usage instructions, latest version of this calculator and additional info:</t>
  </si>
  <si>
    <t>GitHub repo (full open source):</t>
  </si>
  <si>
    <t>https://github.com/macrogreg/Combined-Income-Tax-Estimator</t>
  </si>
  <si>
    <t>Tax types not considered</t>
  </si>
  <si>
    <t xml:space="preserve">  - State and local taxes.
  - Some nuances of Alternative Minimum Tax (AMT), such as Incentive Stock Options (ISO) exercise tax. This can significantly impact the AMT. There may be other AMT nuances that are not considered.
  - Self-Employment Tax.
  - There may be others, so focus on what is explicitly covered (see above).
</t>
  </si>
  <si>
    <t>⚠️ This calculator is not a qualified tax advice.</t>
  </si>
  <si>
    <t>This tool is for estimation purposes only. It should be reasonably accurate for ~90% of employed individuals. The calculator accounts for common income  types, such as W-2, capital gains, rental income, and others.
For fully reliable tax calculations, especially for complex tax situations, always consult a qualified tax professional!</t>
  </si>
  <si>
    <t>Instructions, latest version, more info:</t>
  </si>
  <si>
    <r>
      <rPr>
        <b/>
        <sz val="12"/>
        <color theme="9" tint="-0.499984740745262"/>
        <rFont val="Aptos Narrow"/>
        <family val="2"/>
        <scheme val="minor"/>
      </rPr>
      <t>*</t>
    </r>
    <r>
      <rPr>
        <sz val="12"/>
        <color theme="9" tint="-0.499984740745262"/>
        <rFont val="Aptos Narrow"/>
        <family val="2"/>
        <scheme val="minor"/>
      </rPr>
      <t xml:space="preserve"> All calculated values are estimates.</t>
    </r>
  </si>
  <si>
    <t>Select/enter values for orange fields.</t>
  </si>
  <si>
    <t xml:space="preserve">   The author is not a qualified tax expert.</t>
  </si>
  <si>
    <r>
      <t xml:space="preserve">Do </t>
    </r>
    <r>
      <rPr>
        <b/>
        <sz val="11"/>
        <color theme="1"/>
        <rFont val="Aptos Narrow"/>
        <family val="2"/>
        <scheme val="minor"/>
      </rPr>
      <t>not</t>
    </r>
    <r>
      <rPr>
        <sz val="11"/>
        <color theme="1"/>
        <rFont val="Aptos Narrow"/>
        <family val="2"/>
        <scheme val="minor"/>
      </rPr>
      <t xml:space="preserve"> modify other fields (auto-computed).</t>
    </r>
  </si>
  <si>
    <t>Enter your income in this section. Tax estimates will be based on it.</t>
  </si>
  <si>
    <t>Tax Year:</t>
  </si>
  <si>
    <t>Filing Status:</t>
  </si>
  <si>
    <t>Single</t>
  </si>
  <si>
    <t>Earned Income</t>
  </si>
  <si>
    <t>Deductions towards Adjusted Gross Income (AGI)</t>
  </si>
  <si>
    <t>Regular Income Tax Deductions</t>
  </si>
  <si>
    <t>e.g., wages, tips, bonuses, benefits, shares, …</t>
  </si>
  <si>
    <t>e.g., certain 401k, IRA &amp; HSA contributions, certain education expenses, certain other expenses</t>
  </si>
  <si>
    <t>below-the-line items: use standard OR itemize, e.g., mortgage interest, charity, state &amp; local taxes, …</t>
  </si>
  <si>
    <t>Gross Wages A:</t>
  </si>
  <si>
    <t>AGI above-the-line Deductions A:</t>
  </si>
  <si>
    <t>The larger option will be used:</t>
  </si>
  <si>
    <t>Gross Wages B:</t>
  </si>
  <si>
    <t>AGI above-the-line Deductions B:</t>
  </si>
  <si>
    <t>Standard Deduction for selected status:</t>
  </si>
  <si>
    <t>Gross Wages C:</t>
  </si>
  <si>
    <t>AGI above-the-line Deductions C:</t>
  </si>
  <si>
    <t>Itemized Deductions total:</t>
  </si>
  <si>
    <t>(leave $0, if not itemizing)</t>
  </si>
  <si>
    <t>Total Gross Wages:</t>
  </si>
  <si>
    <t>Total AGI above-the-line Deductions:</t>
  </si>
  <si>
    <t>Deduction Amount:</t>
  </si>
  <si>
    <t>Passive Income &amp; Similar</t>
  </si>
  <si>
    <t>Long-term Capital Gains</t>
  </si>
  <si>
    <t>Short-term Capital Gains</t>
  </si>
  <si>
    <t>e.g., rental income, interest, non-qualified dividends, …</t>
  </si>
  <si>
    <t>e.g., qualidied dividends, realized income from sold assets</t>
  </si>
  <si>
    <t>e.g., realized income from sold short-term assets</t>
  </si>
  <si>
    <t>Net Rental &amp; similar Income A:</t>
  </si>
  <si>
    <t>Long-term Capital Gains A:</t>
  </si>
  <si>
    <t>Short-term Capital Gains A:</t>
  </si>
  <si>
    <t>Net Rental &amp; similar Income B:</t>
  </si>
  <si>
    <t>Long-term Capital Gains B:</t>
  </si>
  <si>
    <t>Short-term Capital Gains B:</t>
  </si>
  <si>
    <t>Net Rental &amp; similar Income C:</t>
  </si>
  <si>
    <t>Long-term Capital Gains C:</t>
  </si>
  <si>
    <t>Short-term Capital Gains C:</t>
  </si>
  <si>
    <t>Total Rental &amp; similar Income:</t>
  </si>
  <si>
    <t>Total Long-term Capital Gains:</t>
  </si>
  <si>
    <t>Total Short-term Capital Gains:</t>
  </si>
  <si>
    <t>Income Summary</t>
  </si>
  <si>
    <t>This section summarizes your income entered above.</t>
  </si>
  <si>
    <t>Gross Income</t>
  </si>
  <si>
    <t>Adjusted Gross Income (AGI)</t>
  </si>
  <si>
    <t>Total Gross Income:</t>
  </si>
  <si>
    <t>Total AGI (Adjusted Gross Income):</t>
  </si>
  <si>
    <t>Total Tax Summary</t>
  </si>
  <si>
    <t>This is the result section. It summarizes your estimated taxes.</t>
  </si>
  <si>
    <t>Total Tax Estimate</t>
  </si>
  <si>
    <t>Total Net Income Estimate</t>
  </si>
  <si>
    <t>Tax Type</t>
  </si>
  <si>
    <t>Amount</t>
  </si>
  <si>
    <t>Total tax as percentage of Income:</t>
  </si>
  <si>
    <t>Net Income Estimate</t>
  </si>
  <si>
    <t>Total Tax Estimate:</t>
  </si>
  <si>
    <t>Federal Insurance Contributions &amp; Affordable Care Act Taxes</t>
  </si>
  <si>
    <t>Medicare Wages Tax</t>
  </si>
  <si>
    <t>Medicare Net Investment Income Tax (NIIT)</t>
  </si>
  <si>
    <t>Social Security Tax</t>
  </si>
  <si>
    <t>Taxable Medicare Wages Amount:</t>
  </si>
  <si>
    <t>Net Investment Amount:</t>
  </si>
  <si>
    <t>Max Taxable Amount:</t>
  </si>
  <si>
    <t xml:space="preserve">Applicable Modified Adjusted Gross Income (MAGI): </t>
  </si>
  <si>
    <t>Marginal Rate:</t>
  </si>
  <si>
    <t>Applicable Rate:</t>
  </si>
  <si>
    <t>Marginal rate Bracket Start:</t>
  </si>
  <si>
    <t xml:space="preserve">Applicable MAGI Threshold: </t>
  </si>
  <si>
    <t>Applicable Taxable Amount:</t>
  </si>
  <si>
    <t>Is NIIT applicable:</t>
  </si>
  <si>
    <t>Subtotal of lower rate brackets:</t>
  </si>
  <si>
    <t>Total Medicare Wages Tax:</t>
  </si>
  <si>
    <t>Subtotal in marginal rate bracket:</t>
  </si>
  <si>
    <t>Medicare Net Investment Income Tax Rate:</t>
  </si>
  <si>
    <t>Taxable Medicare NIIT Amount:</t>
  </si>
  <si>
    <t>Total Medicare NIIT:</t>
  </si>
  <si>
    <t>Federal Income Taxes</t>
  </si>
  <si>
    <t>Regular Income Tax</t>
  </si>
  <si>
    <t>Alternative Minimum Tax (AMT)</t>
  </si>
  <si>
    <t>Effective Federal Income Tax</t>
  </si>
  <si>
    <t>Total Applicable Gross Income:</t>
  </si>
  <si>
    <t>(the larger of the two above alternatives)</t>
  </si>
  <si>
    <t>Total Applicable Deductions:</t>
  </si>
  <si>
    <t>Alternative Minimum Taxable Income (AMTI) :</t>
  </si>
  <si>
    <t>Applicable Regular Taxable Amount:</t>
  </si>
  <si>
    <t>Basis AMT Exemption:</t>
  </si>
  <si>
    <t>Phaseout Threshold:</t>
  </si>
  <si>
    <t>AMTI above Phaseout Threshold:</t>
  </si>
  <si>
    <t>Exemption Reduction due to Phaseout:</t>
  </si>
  <si>
    <t>Actually Applicable AMT Excemption:</t>
  </si>
  <si>
    <t>Actual AMT-Taxable Amount:</t>
  </si>
  <si>
    <t>Total Regular Income Tax:</t>
  </si>
  <si>
    <t>as % of applicable gross income:</t>
  </si>
  <si>
    <t>as % of applicable taxable income:</t>
  </si>
  <si>
    <t>Total Alternamive Minumum Tax:</t>
  </si>
  <si>
    <t>Long Term Capital Gain Tax (LTCG)</t>
  </si>
  <si>
    <t>LTCG bracket range Start:</t>
  </si>
  <si>
    <t xml:space="preserve">    Marginal rate:</t>
  </si>
  <si>
    <t xml:space="preserve">    Marginal rate bracket start:</t>
  </si>
  <si>
    <t xml:space="preserve">    Subtotal of lower rate brackets:</t>
  </si>
  <si>
    <t xml:space="preserve">    Subtotal in marginal rate bracket:</t>
  </si>
  <si>
    <t xml:space="preserve">    LTCG bracket range Start Tax:</t>
  </si>
  <si>
    <t xml:space="preserve">    LTCG bracket range End Tax:</t>
  </si>
  <si>
    <t>Total Long Term Capital Gains Tax:</t>
  </si>
  <si>
    <t>as % of long-term capital gains:</t>
  </si>
  <si>
    <r>
      <t xml:space="preserve">This tab contains the tax computation parameters for different </t>
    </r>
    <r>
      <rPr>
        <b/>
        <sz val="12"/>
        <color theme="9" tint="-0.499984740745262"/>
        <rFont val="Aptos Narrow"/>
        <family val="2"/>
        <scheme val="minor"/>
      </rPr>
      <t>Tax Years</t>
    </r>
    <r>
      <rPr>
        <sz val="12"/>
        <color theme="9" tint="-0.499984740745262"/>
        <rFont val="Aptos Narrow"/>
        <family val="2"/>
        <scheme val="minor"/>
      </rPr>
      <t xml:space="preserve">, </t>
    </r>
    <r>
      <rPr>
        <b/>
        <sz val="12"/>
        <color theme="9" tint="-0.499984740745262"/>
        <rFont val="Aptos Narrow"/>
        <family val="2"/>
        <scheme val="minor"/>
      </rPr>
      <t>Income Brackets</t>
    </r>
    <r>
      <rPr>
        <sz val="12"/>
        <color theme="9" tint="-0.499984740745262"/>
        <rFont val="Aptos Narrow"/>
        <family val="2"/>
        <scheme val="minor"/>
      </rPr>
      <t xml:space="preserve">, and </t>
    </r>
    <r>
      <rPr>
        <b/>
        <sz val="12"/>
        <color theme="9" tint="-0.499984740745262"/>
        <rFont val="Aptos Narrow"/>
        <family val="2"/>
        <scheme val="minor"/>
      </rPr>
      <t>Filing Satuses</t>
    </r>
    <r>
      <rPr>
        <sz val="12"/>
        <color theme="9" tint="-0.499984740745262"/>
        <rFont val="Aptos Narrow"/>
        <family val="2"/>
        <scheme val="minor"/>
      </rPr>
      <t>.</t>
    </r>
  </si>
  <si>
    <t>The `IsSelected` columns are auto-populated based on the inputs on the `Estimator` tab.</t>
  </si>
  <si>
    <t>More info:</t>
  </si>
  <si>
    <t>Handle:</t>
  </si>
  <si>
    <t>In Range Label:</t>
  </si>
  <si>
    <t>✔</t>
  </si>
  <si>
    <t>Out Of Range Label:</t>
  </si>
  <si>
    <t>OutOfRange</t>
  </si>
  <si>
    <t>Filing Status</t>
  </si>
  <si>
    <t>IsSelected</t>
  </si>
  <si>
    <t>Not Found Label:</t>
  </si>
  <si>
    <t>Not Found</t>
  </si>
  <si>
    <t>Selection Valid Label:</t>
  </si>
  <si>
    <t>Valid</t>
  </si>
  <si>
    <t>Married Filing Jointly</t>
  </si>
  <si>
    <t>Max Income:</t>
  </si>
  <si>
    <t>Married Filing Separately</t>
  </si>
  <si>
    <t>Head of Household</t>
  </si>
  <si>
    <t>Tax Year</t>
  </si>
  <si>
    <t>Medicare Rate</t>
  </si>
  <si>
    <t>RangeStart</t>
  </si>
  <si>
    <t>RangeEnd</t>
  </si>
  <si>
    <t>SumLowerRanges</t>
  </si>
  <si>
    <t>Status LabelId</t>
  </si>
  <si>
    <t>NetInvestInc Rate</t>
  </si>
  <si>
    <t>Modified AGI Threshold</t>
  </si>
  <si>
    <t>SocialSecurity Rate</t>
  </si>
  <si>
    <t>Max Taxable Income</t>
  </si>
  <si>
    <t>Standard 
Deduction Amount</t>
  </si>
  <si>
    <t>Federal Tax Rate</t>
  </si>
  <si>
    <t>AMT Exemption</t>
  </si>
  <si>
    <t>Phaseout Threshold</t>
  </si>
  <si>
    <t>AMT Rate</t>
  </si>
  <si>
    <t>LTCG Rate</t>
  </si>
  <si>
    <t>IsBracketStart</t>
  </si>
  <si>
    <t>IsBracketEnd</t>
  </si>
  <si>
    <t>Phaseout Rate</t>
  </si>
  <si>
    <t>Phaseout Rate:</t>
  </si>
  <si>
    <t>Your estimated income</t>
  </si>
  <si>
    <t>Total Social Security Tax:</t>
  </si>
  <si>
    <t>(simplified, use with care)</t>
  </si>
  <si>
    <t>Taxable Long-term Capital Gains:</t>
  </si>
  <si>
    <t>Unused regular deductions:</t>
  </si>
  <si>
    <t>LTCG bracket range 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</si>
</sst>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164" formatCode="&quot;$&quot;#,##0.00"/>
    <numFmt numFmtId="165" formatCode="0.000%"/>
    <numFmt numFmtId="166" formatCode="&quot;$&quot;#,##0"/>
    <numFmt numFmtId="167" formatCode="0.0%"/>
    <numFmt numFmtId="168" formatCode="_(&quot;$&quot;* #,##0_);_(&quot;$&quot;* \(#,##0\);_(&quot;$&quot;* &quot;-&quot;??_);_(@_)"/>
    <numFmt numFmtId="169" formatCode="0.000"/>
  </numFmts>
  <fonts count="42" x14ac:knownFonts="1">
    <font>
      <sz val="11"/>
      <color theme="1"/>
      <name val="Aptos Narrow"/>
      <family val="2"/>
      <scheme val="minor"/>
    </font>
    <font>
      <sz val="11"/>
      <color theme="1"/>
      <name val="Aptos Narrow"/>
      <family val="2"/>
      <scheme val="minor"/>
    </font>
    <font>
      <b/>
      <sz val="13"/>
      <color theme="3"/>
      <name val="Aptos Narrow"/>
      <family val="2"/>
      <scheme val="minor"/>
    </font>
    <font>
      <sz val="11"/>
      <color rgb="FF3F3F76"/>
      <name val="Aptos Narrow"/>
      <family val="2"/>
      <scheme val="minor"/>
    </font>
    <font>
      <b/>
      <sz val="11"/>
      <color theme="1"/>
      <name val="Aptos Narrow"/>
      <family val="2"/>
      <scheme val="minor"/>
    </font>
    <font>
      <i/>
      <sz val="11"/>
      <color theme="0" tint="-0.499984740745262"/>
      <name val="Aptos Narrow"/>
      <family val="2"/>
      <scheme val="minor"/>
    </font>
    <font>
      <sz val="10"/>
      <color theme="1"/>
      <name val="Aptos Narrow"/>
      <family val="2"/>
      <scheme val="minor"/>
    </font>
    <font>
      <sz val="9"/>
      <color theme="0" tint="-0.499984740745262"/>
      <name val="Aptos Narrow"/>
      <family val="2"/>
      <scheme val="minor"/>
    </font>
    <font>
      <sz val="9"/>
      <color theme="1"/>
      <name val="Aptos Narrow"/>
      <family val="2"/>
      <scheme val="minor"/>
    </font>
    <font>
      <sz val="8"/>
      <color theme="0" tint="-0.499984740745262"/>
      <name val="Aptos Narrow"/>
      <family val="2"/>
      <scheme val="minor"/>
    </font>
    <font>
      <sz val="8"/>
      <color theme="1"/>
      <name val="Aptos Narrow"/>
      <family val="2"/>
      <scheme val="minor"/>
    </font>
    <font>
      <i/>
      <sz val="9"/>
      <color theme="0" tint="-0.499984740745262"/>
      <name val="Aptos Narrow"/>
      <family val="2"/>
      <scheme val="minor"/>
    </font>
    <font>
      <sz val="12"/>
      <color theme="9" tint="-0.499984740745262"/>
      <name val="Aptos Narrow"/>
      <family val="2"/>
      <scheme val="minor"/>
    </font>
    <font>
      <b/>
      <sz val="12"/>
      <color theme="9" tint="-0.499984740745262"/>
      <name val="Aptos Narrow"/>
      <family val="2"/>
      <scheme val="minor"/>
    </font>
    <font>
      <sz val="9"/>
      <color theme="7" tint="-0.499984740745262"/>
      <name val="Aptos Narrow"/>
      <family val="2"/>
      <scheme val="minor"/>
    </font>
    <font>
      <b/>
      <sz val="10"/>
      <color theme="1"/>
      <name val="Aptos Narrow"/>
      <family val="2"/>
      <scheme val="minor"/>
    </font>
    <font>
      <i/>
      <sz val="11"/>
      <color theme="1"/>
      <name val="Aptos Narrow"/>
      <family val="2"/>
      <scheme val="minor"/>
    </font>
    <font>
      <sz val="12"/>
      <color theme="1"/>
      <name val="Aptos Narrow"/>
      <family val="2"/>
      <scheme val="minor"/>
    </font>
    <font>
      <b/>
      <sz val="11"/>
      <color theme="3"/>
      <name val="Aptos Narrow"/>
      <family val="2"/>
      <scheme val="minor"/>
    </font>
    <font>
      <b/>
      <sz val="12"/>
      <color theme="1"/>
      <name val="Aptos Narrow"/>
      <family val="2"/>
      <scheme val="minor"/>
    </font>
    <font>
      <b/>
      <sz val="10"/>
      <color theme="0" tint="-0.499984740745262"/>
      <name val="Aptos Narrow"/>
      <family val="2"/>
      <scheme val="minor"/>
    </font>
    <font>
      <sz val="9"/>
      <color theme="3" tint="0.499984740745262"/>
      <name val="Aptos Narrow"/>
      <family val="2"/>
      <scheme val="minor"/>
    </font>
    <font>
      <b/>
      <sz val="11"/>
      <color theme="0" tint="-0.499984740745262"/>
      <name val="Aptos Narrow"/>
      <family val="2"/>
      <scheme val="minor"/>
    </font>
    <font>
      <sz val="11"/>
      <name val="Aptos Narrow"/>
      <family val="2"/>
      <scheme val="minor"/>
    </font>
    <font>
      <b/>
      <sz val="9"/>
      <color theme="1"/>
      <name val="Aptos Narrow"/>
      <family val="2"/>
      <scheme val="minor"/>
    </font>
    <font>
      <b/>
      <sz val="11"/>
      <color rgb="FF3F3F76"/>
      <name val="Aptos Narrow"/>
      <family val="2"/>
      <scheme val="minor"/>
    </font>
    <font>
      <i/>
      <sz val="9"/>
      <color theme="4" tint="0.59996337778862885"/>
      <name val="Aptos Narrow"/>
      <family val="2"/>
      <scheme val="minor"/>
    </font>
    <font>
      <b/>
      <sz val="9"/>
      <color theme="7" tint="-0.499984740745262"/>
      <name val="Aptos Narrow"/>
      <family val="2"/>
      <scheme val="minor"/>
    </font>
    <font>
      <i/>
      <sz val="7"/>
      <color theme="4" tint="0.59996337778862885"/>
      <name val="Aptos Narrow"/>
      <family val="2"/>
      <scheme val="minor"/>
    </font>
    <font>
      <u/>
      <sz val="11"/>
      <color theme="10"/>
      <name val="Aptos Narrow"/>
      <family val="2"/>
      <scheme val="minor"/>
    </font>
    <font>
      <sz val="11"/>
      <color rgb="FF000000"/>
      <name val="Aptos Narrow"/>
      <scheme val="minor"/>
    </font>
    <font>
      <u/>
      <sz val="11"/>
      <color rgb="FF000000"/>
      <name val="Aptos Narrow"/>
      <scheme val="minor"/>
    </font>
    <font>
      <b/>
      <sz val="11"/>
      <color rgb="FF000000"/>
      <name val="Aptos Narrow"/>
      <scheme val="minor"/>
    </font>
    <font>
      <b/>
      <sz val="11"/>
      <color theme="1"/>
      <name val="Aptos Narrow"/>
      <scheme val="minor"/>
    </font>
    <font>
      <u/>
      <sz val="12"/>
      <color theme="10"/>
      <name val="Aptos Narrow"/>
      <family val="2"/>
      <scheme val="minor"/>
    </font>
    <font>
      <sz val="8"/>
      <color theme="9" tint="-0.499984740745262"/>
      <name val="Aptos Narrow"/>
      <family val="2"/>
      <scheme val="minor"/>
    </font>
    <font>
      <b/>
      <sz val="15"/>
      <color theme="3"/>
      <name val="Aptos Narrow"/>
      <scheme val="minor"/>
    </font>
    <font>
      <sz val="9"/>
      <color rgb="FF000000"/>
      <name val="Aptos Narrow"/>
      <scheme val="minor"/>
    </font>
    <font>
      <b/>
      <sz val="9"/>
      <color rgb="FF000000"/>
      <name val="Aptos Narrow"/>
      <scheme val="minor"/>
    </font>
    <font>
      <b/>
      <sz val="8"/>
      <color theme="3" tint="9.9978637043366805E-2"/>
      <name val="Aptos Narrow"/>
      <family val="2"/>
      <scheme val="minor"/>
    </font>
    <font>
      <b/>
      <sz val="8"/>
      <color theme="3"/>
      <name val="Aptos Narrow"/>
      <family val="2"/>
      <scheme val="minor"/>
    </font>
    <font>
      <sz val="8"/>
      <name val="Aptos Narrow"/>
      <family val="2"/>
      <scheme val="minor"/>
    </font>
  </fonts>
  <fills count="6">
    <fill>
      <patternFill patternType="none"/>
    </fill>
    <fill>
      <patternFill patternType="gray125"/>
    </fill>
    <fill>
      <patternFill patternType="solid">
        <fgColor rgb="FFFFCC99"/>
      </patternFill>
    </fill>
    <fill>
      <patternFill patternType="solid">
        <fgColor theme="8" tint="0.79998168889431442"/>
        <bgColor indexed="64"/>
      </patternFill>
    </fill>
    <fill>
      <patternFill patternType="solid">
        <fgColor theme="9" tint="0.79998168889431442"/>
        <bgColor indexed="64"/>
      </patternFill>
    </fill>
    <fill>
      <patternFill patternType="solid">
        <fgColor theme="0" tint="-0.14999847407452621"/>
        <bgColor indexed="64"/>
      </patternFill>
    </fill>
  </fills>
  <borders count="16">
    <border>
      <left/>
      <right/>
      <top/>
      <bottom/>
      <diagonal/>
    </border>
    <border>
      <left/>
      <right/>
      <top/>
      <bottom style="thick">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indexed="64"/>
      </bottom>
      <diagonal/>
    </border>
    <border>
      <left style="thin">
        <color rgb="FF7F7F7F"/>
      </left>
      <right style="thin">
        <color rgb="FF7F7F7F"/>
      </right>
      <top style="thin">
        <color rgb="FF7F7F7F"/>
      </top>
      <bottom style="medium">
        <color indexed="64"/>
      </bottom>
      <diagonal/>
    </border>
    <border>
      <left/>
      <right/>
      <top style="thin">
        <color indexed="64"/>
      </top>
      <bottom/>
      <diagonal/>
    </border>
    <border>
      <left/>
      <right/>
      <top/>
      <bottom style="medium">
        <color theme="4" tint="0.39997558519241921"/>
      </bottom>
      <diagonal/>
    </border>
    <border>
      <left/>
      <right/>
      <top/>
      <bottom style="thin">
        <color indexed="64"/>
      </bottom>
      <diagonal/>
    </border>
    <border>
      <left style="medium">
        <color theme="8"/>
      </left>
      <right/>
      <top style="medium">
        <color theme="8"/>
      </top>
      <bottom/>
      <diagonal/>
    </border>
    <border>
      <left/>
      <right style="medium">
        <color theme="8"/>
      </right>
      <top style="medium">
        <color theme="8"/>
      </top>
      <bottom/>
      <diagonal/>
    </border>
    <border>
      <left style="medium">
        <color theme="8"/>
      </left>
      <right/>
      <top/>
      <bottom/>
      <diagonal/>
    </border>
    <border>
      <left/>
      <right style="medium">
        <color theme="8"/>
      </right>
      <top/>
      <bottom/>
      <diagonal/>
    </border>
    <border>
      <left style="medium">
        <color theme="8"/>
      </left>
      <right/>
      <top/>
      <bottom style="medium">
        <color theme="8"/>
      </bottom>
      <diagonal/>
    </border>
    <border>
      <left/>
      <right style="medium">
        <color theme="8"/>
      </right>
      <top/>
      <bottom style="medium">
        <color theme="8"/>
      </bottom>
      <diagonal/>
    </border>
    <border>
      <left/>
      <right/>
      <top style="thick">
        <color theme="4" tint="0.499984740745262"/>
      </top>
      <bottom/>
      <diagonal/>
    </border>
    <border>
      <left/>
      <right/>
      <top/>
      <bottom style="thick">
        <color theme="4"/>
      </bottom>
      <diagonal/>
    </border>
  </borders>
  <cellStyleXfs count="12">
    <xf numFmtId="0" fontId="0" fillId="0" borderId="0"/>
    <xf numFmtId="44" fontId="1" fillId="0" borderId="0" applyFont="0" applyFill="0" applyBorder="0" applyAlignment="0" applyProtection="0"/>
    <xf numFmtId="9" fontId="1" fillId="0" borderId="0" applyFont="0" applyFill="0" applyBorder="0" applyAlignment="0" applyProtection="0"/>
    <xf numFmtId="0" fontId="2" fillId="0" borderId="1" applyNumberFormat="0" applyFill="0" applyAlignment="0" applyProtection="0"/>
    <xf numFmtId="0" fontId="3" fillId="2" borderId="2" applyNumberFormat="0" applyAlignment="0" applyProtection="0"/>
    <xf numFmtId="0" fontId="18" fillId="0" borderId="6" applyNumberFormat="0" applyFill="0" applyAlignment="0" applyProtection="0"/>
    <xf numFmtId="0" fontId="11" fillId="0" borderId="0"/>
    <xf numFmtId="0" fontId="7" fillId="0" borderId="0"/>
    <xf numFmtId="0" fontId="26" fillId="0" borderId="0"/>
    <xf numFmtId="0" fontId="28" fillId="0" borderId="0">
      <alignment vertical="center"/>
    </xf>
    <xf numFmtId="0" fontId="29" fillId="0" borderId="0" applyNumberFormat="0" applyFill="0" applyBorder="0" applyAlignment="0" applyProtection="0"/>
    <xf numFmtId="0" fontId="36" fillId="0" borderId="15" applyNumberFormat="0" applyFill="0" applyAlignment="0" applyProtection="0"/>
  </cellStyleXfs>
  <cellXfs count="97">
    <xf numFmtId="0" fontId="0" fillId="0" borderId="0" xfId="0"/>
    <xf numFmtId="164" fontId="0" fillId="0" borderId="0" xfId="1" applyNumberFormat="1" applyFont="1"/>
    <xf numFmtId="164" fontId="0" fillId="0" borderId="0" xfId="0" applyNumberFormat="1"/>
    <xf numFmtId="0" fontId="4" fillId="0" borderId="0" xfId="0" applyFont="1"/>
    <xf numFmtId="164" fontId="4" fillId="0" borderId="0" xfId="0" applyNumberFormat="1" applyFont="1"/>
    <xf numFmtId="0" fontId="4" fillId="3" borderId="0" xfId="0" applyFont="1" applyFill="1"/>
    <xf numFmtId="165" fontId="0" fillId="0" borderId="0" xfId="2" applyNumberFormat="1" applyFont="1"/>
    <xf numFmtId="49" fontId="0" fillId="0" borderId="0" xfId="2" applyNumberFormat="1" applyFont="1" applyAlignment="1">
      <alignment horizontal="right"/>
    </xf>
    <xf numFmtId="0" fontId="3" fillId="2" borderId="2" xfId="4"/>
    <xf numFmtId="164" fontId="3" fillId="2" borderId="2" xfId="4" applyNumberFormat="1"/>
    <xf numFmtId="0" fontId="0" fillId="0" borderId="3" xfId="0" applyBorder="1"/>
    <xf numFmtId="164" fontId="3" fillId="2" borderId="4" xfId="4" applyNumberFormat="1" applyBorder="1"/>
    <xf numFmtId="0" fontId="5" fillId="0" borderId="0" xfId="0" applyFont="1"/>
    <xf numFmtId="0" fontId="9" fillId="3" borderId="0" xfId="0" applyFont="1" applyFill="1" applyAlignment="1">
      <alignment horizontal="right" vertical="center"/>
    </xf>
    <xf numFmtId="0" fontId="10" fillId="3" borderId="0" xfId="0" applyFont="1" applyFill="1" applyAlignment="1">
      <alignment vertical="center"/>
    </xf>
    <xf numFmtId="0" fontId="2" fillId="0" borderId="1" xfId="3"/>
    <xf numFmtId="0" fontId="8" fillId="0" borderId="0" xfId="0" applyFont="1" applyAlignment="1">
      <alignment horizontal="center"/>
    </xf>
    <xf numFmtId="0" fontId="4" fillId="0" borderId="5" xfId="0" applyFont="1" applyBorder="1"/>
    <xf numFmtId="164" fontId="4" fillId="0" borderId="5" xfId="0" applyNumberFormat="1" applyFont="1" applyBorder="1"/>
    <xf numFmtId="0" fontId="7" fillId="0" borderId="0" xfId="0" applyFont="1" applyAlignment="1">
      <alignment vertical="center"/>
    </xf>
    <xf numFmtId="0" fontId="11" fillId="0" borderId="0" xfId="0" applyFont="1" applyAlignment="1">
      <alignment vertical="center"/>
    </xf>
    <xf numFmtId="0" fontId="0" fillId="0" borderId="0" xfId="0" applyAlignment="1">
      <alignment horizontal="right"/>
    </xf>
    <xf numFmtId="0" fontId="0" fillId="4" borderId="0" xfId="0" applyFill="1"/>
    <xf numFmtId="0" fontId="12" fillId="4" borderId="0" xfId="0" applyFont="1" applyFill="1"/>
    <xf numFmtId="0" fontId="6" fillId="0" borderId="0" xfId="0" applyFont="1"/>
    <xf numFmtId="164" fontId="0" fillId="0" borderId="3" xfId="0" applyNumberFormat="1" applyBorder="1"/>
    <xf numFmtId="0" fontId="14" fillId="0" borderId="0" xfId="0" applyFont="1" applyAlignment="1">
      <alignment vertical="center"/>
    </xf>
    <xf numFmtId="0" fontId="15" fillId="3" borderId="0" xfId="0" applyFont="1" applyFill="1"/>
    <xf numFmtId="166" fontId="0" fillId="0" borderId="0" xfId="1" applyNumberFormat="1" applyFont="1"/>
    <xf numFmtId="165" fontId="0" fillId="0" borderId="0" xfId="2" applyNumberFormat="1" applyFont="1" applyAlignment="1">
      <alignment horizontal="right"/>
    </xf>
    <xf numFmtId="0" fontId="16" fillId="0" borderId="0" xfId="0" applyFont="1"/>
    <xf numFmtId="0" fontId="17" fillId="3" borderId="0" xfId="0" applyFont="1" applyFill="1"/>
    <xf numFmtId="164" fontId="17" fillId="3" borderId="0" xfId="0" applyNumberFormat="1" applyFont="1" applyFill="1"/>
    <xf numFmtId="0" fontId="0" fillId="0" borderId="7" xfId="0" applyBorder="1"/>
    <xf numFmtId="164" fontId="0" fillId="0" borderId="7" xfId="0" applyNumberFormat="1" applyBorder="1"/>
    <xf numFmtId="0" fontId="17" fillId="0" borderId="0" xfId="0" applyFont="1"/>
    <xf numFmtId="164" fontId="17" fillId="0" borderId="0" xfId="0" applyNumberFormat="1" applyFont="1"/>
    <xf numFmtId="0" fontId="18" fillId="0" borderId="6" xfId="5"/>
    <xf numFmtId="0" fontId="0" fillId="0" borderId="0" xfId="0" applyAlignment="1">
      <alignment vertical="center"/>
    </xf>
    <xf numFmtId="0" fontId="2" fillId="0" borderId="1" xfId="3" applyNumberFormat="1" applyAlignment="1">
      <alignment vertical="center"/>
    </xf>
    <xf numFmtId="0" fontId="2" fillId="0" borderId="1" xfId="3" applyNumberFormat="1"/>
    <xf numFmtId="0" fontId="18" fillId="0" borderId="6" xfId="5" applyAlignment="1">
      <alignment vertical="center"/>
    </xf>
    <xf numFmtId="0" fontId="0" fillId="5" borderId="7" xfId="0" applyFill="1" applyBorder="1"/>
    <xf numFmtId="0" fontId="7" fillId="0" borderId="0" xfId="0" applyFont="1"/>
    <xf numFmtId="0" fontId="6" fillId="0" borderId="0" xfId="0" applyFont="1" applyAlignment="1">
      <alignment vertical="top"/>
    </xf>
    <xf numFmtId="0" fontId="6" fillId="0" borderId="0" xfId="0" applyFont="1" applyAlignment="1">
      <alignment vertical="top" wrapText="1"/>
    </xf>
    <xf numFmtId="0" fontId="20" fillId="5" borderId="7" xfId="0" applyFont="1" applyFill="1" applyBorder="1"/>
    <xf numFmtId="0" fontId="18" fillId="0" borderId="0" xfId="5" applyBorder="1"/>
    <xf numFmtId="0" fontId="4" fillId="0" borderId="8" xfId="0" applyFont="1" applyBorder="1"/>
    <xf numFmtId="0" fontId="4" fillId="0" borderId="10" xfId="0" applyFont="1" applyBorder="1"/>
    <xf numFmtId="0" fontId="19" fillId="3" borderId="12" xfId="0" applyFont="1" applyFill="1" applyBorder="1"/>
    <xf numFmtId="0" fontId="21" fillId="0" borderId="0" xfId="0" applyFont="1" applyAlignment="1">
      <alignment horizontal="right"/>
    </xf>
    <xf numFmtId="0" fontId="22" fillId="0" borderId="0" xfId="0" applyFont="1"/>
    <xf numFmtId="164" fontId="22" fillId="0" borderId="0" xfId="0" applyNumberFormat="1" applyFont="1"/>
    <xf numFmtId="0" fontId="23" fillId="0" borderId="0" xfId="0" applyFont="1"/>
    <xf numFmtId="164" fontId="23" fillId="0" borderId="0" xfId="0" applyNumberFormat="1" applyFont="1"/>
    <xf numFmtId="0" fontId="20" fillId="0" borderId="0" xfId="0" applyFont="1" applyAlignment="1">
      <alignment horizontal="right" vertical="center"/>
    </xf>
    <xf numFmtId="167" fontId="20" fillId="0" borderId="0" xfId="2" applyNumberFormat="1" applyFont="1" applyAlignment="1">
      <alignment vertical="center"/>
    </xf>
    <xf numFmtId="0" fontId="24" fillId="3" borderId="0" xfId="0" applyFont="1" applyFill="1"/>
    <xf numFmtId="166" fontId="0" fillId="0" borderId="0" xfId="2" applyNumberFormat="1" applyFont="1"/>
    <xf numFmtId="0" fontId="22" fillId="0" borderId="5" xfId="0" applyFont="1" applyBorder="1"/>
    <xf numFmtId="164" fontId="22" fillId="0" borderId="5" xfId="0" applyNumberFormat="1" applyFont="1" applyBorder="1"/>
    <xf numFmtId="0" fontId="0" fillId="0" borderId="5" xfId="0" applyBorder="1"/>
    <xf numFmtId="164" fontId="0" fillId="0" borderId="5" xfId="0" applyNumberFormat="1" applyBorder="1"/>
    <xf numFmtId="0" fontId="0" fillId="0" borderId="2" xfId="0" applyBorder="1" applyAlignment="1">
      <alignment horizontal="center"/>
    </xf>
    <xf numFmtId="0" fontId="25" fillId="2" borderId="2" xfId="4" applyNumberFormat="1" applyFont="1" applyAlignment="1">
      <alignment horizontal="center" vertical="center"/>
    </xf>
    <xf numFmtId="0" fontId="26" fillId="0" borderId="0" xfId="8"/>
    <xf numFmtId="0" fontId="27" fillId="0" borderId="0" xfId="0" applyFont="1" applyAlignment="1">
      <alignment vertical="center"/>
    </xf>
    <xf numFmtId="0" fontId="28" fillId="0" borderId="0" xfId="9">
      <alignment vertical="center"/>
    </xf>
    <xf numFmtId="0" fontId="0" fillId="0" borderId="0" xfId="0" applyAlignment="1">
      <alignment horizontal="center"/>
    </xf>
    <xf numFmtId="0" fontId="0" fillId="3" borderId="10" xfId="0" applyFill="1" applyBorder="1"/>
    <xf numFmtId="168" fontId="4" fillId="0" borderId="9" xfId="1" applyNumberFormat="1" applyFont="1" applyBorder="1"/>
    <xf numFmtId="168" fontId="4" fillId="0" borderId="11" xfId="1" applyNumberFormat="1" applyFont="1" applyBorder="1"/>
    <xf numFmtId="10" fontId="0" fillId="3" borderId="11" xfId="2" applyNumberFormat="1" applyFont="1" applyFill="1" applyBorder="1"/>
    <xf numFmtId="168" fontId="19" fillId="3" borderId="13" xfId="1" applyNumberFormat="1" applyFont="1" applyFill="1" applyBorder="1"/>
    <xf numFmtId="0" fontId="2" fillId="0" borderId="1" xfId="3" applyAlignment="1">
      <alignment vertical="top"/>
    </xf>
    <xf numFmtId="0" fontId="0" fillId="0" borderId="0" xfId="0" applyAlignment="1">
      <alignment vertical="top" wrapText="1"/>
    </xf>
    <xf numFmtId="0" fontId="0" fillId="0" borderId="0" xfId="0" applyAlignment="1">
      <alignment vertical="top"/>
    </xf>
    <xf numFmtId="0" fontId="18" fillId="0" borderId="6" xfId="5" applyAlignment="1">
      <alignment vertical="top"/>
    </xf>
    <xf numFmtId="164" fontId="0" fillId="0" borderId="0" xfId="0" applyNumberFormat="1" applyAlignment="1">
      <alignment horizontal="right"/>
    </xf>
    <xf numFmtId="0" fontId="30" fillId="0" borderId="0" xfId="0" applyFont="1" applyAlignment="1">
      <alignment vertical="top" wrapText="1"/>
    </xf>
    <xf numFmtId="0" fontId="33" fillId="0" borderId="0" xfId="0" applyFont="1" applyAlignment="1">
      <alignment vertical="top" wrapText="1"/>
    </xf>
    <xf numFmtId="0" fontId="29" fillId="0" borderId="0" xfId="10" applyAlignment="1">
      <alignment vertical="top" wrapText="1"/>
    </xf>
    <xf numFmtId="0" fontId="34" fillId="4" borderId="0" xfId="10" applyFont="1" applyFill="1"/>
    <xf numFmtId="0" fontId="35" fillId="4" borderId="0" xfId="0" applyFont="1" applyFill="1"/>
    <xf numFmtId="0" fontId="10" fillId="0" borderId="0" xfId="0" applyFont="1"/>
    <xf numFmtId="0" fontId="29" fillId="0" borderId="0" xfId="10" applyAlignment="1">
      <alignment vertical="top"/>
    </xf>
    <xf numFmtId="0" fontId="30" fillId="0" borderId="0" xfId="0" applyFont="1" applyAlignment="1">
      <alignment vertical="top"/>
    </xf>
    <xf numFmtId="0" fontId="32" fillId="0" borderId="0" xfId="0" applyFont="1" applyAlignment="1">
      <alignment vertical="top"/>
    </xf>
    <xf numFmtId="0" fontId="36" fillId="0" borderId="15" xfId="11" applyFill="1" applyAlignment="1">
      <alignment vertical="top"/>
    </xf>
    <xf numFmtId="0" fontId="29" fillId="0" borderId="0" xfId="10" applyFill="1"/>
    <xf numFmtId="165" fontId="0" fillId="0" borderId="0" xfId="2" applyNumberFormat="1" applyFont="1" applyAlignment="1"/>
    <xf numFmtId="169" fontId="0" fillId="0" borderId="0" xfId="1" applyNumberFormat="1" applyFont="1"/>
    <xf numFmtId="169" fontId="0" fillId="0" borderId="0" xfId="0" applyNumberFormat="1"/>
    <xf numFmtId="0" fontId="39" fillId="0" borderId="0" xfId="0" applyFont="1" applyAlignment="1">
      <alignment vertical="top"/>
    </xf>
    <xf numFmtId="0" fontId="40" fillId="0" borderId="6" xfId="5" applyFont="1" applyAlignment="1">
      <alignment horizontal="right"/>
    </xf>
    <xf numFmtId="0" fontId="27" fillId="0" borderId="14" xfId="0" applyFont="1" applyBorder="1" applyAlignment="1">
      <alignment vertical="center"/>
    </xf>
  </cellXfs>
  <cellStyles count="12">
    <cellStyle name="Currency" xfId="1" builtinId="4"/>
    <cellStyle name="Heading 1" xfId="11" builtinId="16"/>
    <cellStyle name="Heading 2" xfId="3" builtinId="17"/>
    <cellStyle name="Heading 3" xfId="5" builtinId="18"/>
    <cellStyle name="Hyperlink" xfId="10" builtinId="8"/>
    <cellStyle name="Input" xfId="4" builtinId="20"/>
    <cellStyle name="Normal" xfId="0" builtinId="0"/>
    <cellStyle name="Percent" xfId="2" builtinId="5"/>
    <cellStyle name="RangeCheck Result" xfId="7" xr:uid="{F8571231-3A29-4C28-9766-D9F945A62327}"/>
    <cellStyle name="Reference Label Link" xfId="8" xr:uid="{324E3B60-637F-4A12-BD38-62E4D750E88B}"/>
    <cellStyle name="Reference Long-Label Link" xfId="9" xr:uid="{47D7D535-D7A3-4E27-BE52-18F4AE1F2363}"/>
    <cellStyle name="Title" xfId="6" builtinId="15" customBuiltin="1"/>
  </cellStyles>
  <dxfs count="107">
    <dxf>
      <font>
        <b/>
        <i val="0"/>
      </font>
    </dxf>
    <dxf>
      <font>
        <color theme="0" tint="-0.499984740745262"/>
      </font>
    </dxf>
    <dxf>
      <font>
        <color rgb="FFFF0000"/>
      </font>
      <fill>
        <patternFill>
          <bgColor theme="5" tint="0.79998168889431442"/>
        </patternFill>
      </fill>
    </dxf>
    <dxf>
      <font>
        <color rgb="FF00B050"/>
      </font>
    </dxf>
    <dxf>
      <font>
        <b/>
        <i val="0"/>
      </font>
    </dxf>
    <dxf>
      <font>
        <color theme="0" tint="-0.499984740745262"/>
      </font>
    </dxf>
    <dxf>
      <font>
        <color rgb="FF00B050"/>
      </font>
    </dxf>
    <dxf>
      <font>
        <color rgb="FFFF0000"/>
      </font>
      <fill>
        <patternFill>
          <bgColor theme="5" tint="0.79998168889431442"/>
        </patternFill>
      </fill>
    </dxf>
    <dxf>
      <font>
        <b/>
        <i val="0"/>
      </font>
    </dxf>
    <dxf>
      <font>
        <color theme="0" tint="-0.499984740745262"/>
      </font>
    </dxf>
    <dxf>
      <font>
        <color rgb="FFFF0000"/>
      </font>
      <fill>
        <patternFill>
          <bgColor theme="5" tint="0.79998168889431442"/>
        </patternFill>
      </fill>
    </dxf>
    <dxf>
      <font>
        <color rgb="FF00B050"/>
      </font>
    </dxf>
    <dxf>
      <font>
        <color theme="0" tint="-0.499984740745262"/>
      </font>
    </dxf>
    <dxf>
      <font>
        <b/>
        <i val="0"/>
      </font>
    </dxf>
    <dxf>
      <font>
        <color rgb="FFFF0000"/>
      </font>
      <fill>
        <patternFill>
          <bgColor theme="5" tint="0.79998168889431442"/>
        </patternFill>
      </fill>
    </dxf>
    <dxf>
      <font>
        <color rgb="FF00B050"/>
      </font>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FF0000"/>
      </font>
      <fill>
        <patternFill>
          <bgColor theme="5" tint="0.79998168889431442"/>
        </patternFill>
      </fill>
    </dxf>
    <dxf>
      <font>
        <color rgb="FF00B050"/>
      </font>
    </dxf>
    <dxf>
      <font>
        <color theme="0" tint="-0.499984740745262"/>
      </font>
    </dxf>
    <dxf>
      <font>
        <b/>
        <i val="0"/>
      </font>
    </dxf>
    <dxf>
      <font>
        <color rgb="FFFF0000"/>
      </font>
      <fill>
        <patternFill>
          <bgColor theme="5" tint="0.79998168889431442"/>
        </patternFill>
      </fill>
    </dxf>
    <dxf>
      <font>
        <color rgb="FF00B050"/>
      </font>
    </dxf>
    <dxf>
      <font>
        <color theme="0" tint="-0.499984740745262"/>
      </font>
    </dxf>
    <dxf>
      <font>
        <b/>
        <i val="0"/>
      </font>
    </dxf>
    <dxf>
      <font>
        <color rgb="FF00B050"/>
      </font>
    </dxf>
    <dxf>
      <font>
        <color rgb="FFFF0000"/>
      </font>
      <fill>
        <patternFill>
          <bgColor theme="5" tint="0.79998168889431442"/>
        </patternFill>
      </fill>
    </dxf>
    <dxf>
      <font>
        <b/>
        <i val="0"/>
      </font>
    </dxf>
    <dxf>
      <font>
        <color theme="0" tint="-0.499984740745262"/>
      </font>
    </dxf>
    <dxf>
      <font>
        <color rgb="FFFF0000"/>
      </font>
      <fill>
        <patternFill>
          <bgColor theme="5" tint="0.79998168889431442"/>
        </patternFill>
      </fill>
    </dxf>
    <dxf>
      <font>
        <color rgb="FF00B050"/>
      </font>
    </dxf>
    <dxf>
      <font>
        <color theme="0" tint="-0.499984740745262"/>
      </font>
    </dxf>
    <dxf>
      <font>
        <b/>
        <i val="0"/>
      </font>
    </dxf>
    <dxf>
      <font>
        <color rgb="FFFF0000"/>
      </font>
      <fill>
        <patternFill>
          <bgColor theme="5" tint="0.79998168889431442"/>
        </patternFill>
      </fill>
    </dxf>
    <dxf>
      <font>
        <color rgb="FF00B050"/>
      </font>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numFmt numFmtId="0" formatCode="General"/>
    </dxf>
    <dxf>
      <numFmt numFmtId="0" formatCode="General"/>
      <alignment horizontal="center" vertical="bottom" textRotation="0" wrapText="0" indent="0" justifyLastLine="0" shrinkToFit="0" readingOrder="0"/>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font>
        <b val="0"/>
        <i val="0"/>
        <strike val="0"/>
        <condense val="0"/>
        <extend val="0"/>
        <outline val="0"/>
        <shadow val="0"/>
        <u val="none"/>
        <vertAlign val="baseline"/>
        <sz val="11"/>
        <color theme="1"/>
        <name val="Aptos Narrow"/>
        <family val="2"/>
        <scheme val="minor"/>
      </font>
      <numFmt numFmtId="166" formatCode="&quot;$&quot;#,##0"/>
    </dxf>
    <dxf>
      <font>
        <b val="0"/>
        <i val="0"/>
        <strike val="0"/>
        <condense val="0"/>
        <extend val="0"/>
        <outline val="0"/>
        <shadow val="0"/>
        <u val="none"/>
        <vertAlign val="baseline"/>
        <sz val="11"/>
        <color theme="1"/>
        <name val="Aptos Narrow"/>
        <family val="2"/>
        <scheme val="minor"/>
      </font>
      <numFmt numFmtId="166" formatCode="&quot;$&quot;#,##0"/>
    </dxf>
    <dxf>
      <font>
        <b val="0"/>
        <i val="0"/>
        <strike val="0"/>
        <condense val="0"/>
        <extend val="0"/>
        <outline val="0"/>
        <shadow val="0"/>
        <u val="none"/>
        <vertAlign val="baseline"/>
        <sz val="11"/>
        <color theme="1"/>
        <name val="Aptos Narrow"/>
        <family val="2"/>
        <scheme val="minor"/>
      </font>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dxf>
    <dxf>
      <numFmt numFmtId="0" formatCode="General"/>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alignment horizontal="general" vertical="top" textRotation="0" indent="0" justifyLastLine="0" shrinkToFit="0" readingOrder="0"/>
    </dxf>
    <dxf>
      <numFmt numFmtId="0" formatCode="General"/>
    </dxf>
    <dxf>
      <font>
        <b val="0"/>
        <i val="0"/>
        <strike val="0"/>
        <condense val="0"/>
        <extend val="0"/>
        <outline val="0"/>
        <shadow val="0"/>
        <u val="none"/>
        <vertAlign val="baseline"/>
        <sz val="11"/>
        <color theme="1"/>
        <name val="Aptos Narrow"/>
        <family val="2"/>
        <scheme val="minor"/>
      </font>
      <numFmt numFmtId="164" formatCode="&quot;$&quot;#,##0.00"/>
    </dxf>
    <dxf>
      <font>
        <b val="0"/>
        <i val="0"/>
        <strike val="0"/>
        <condense val="0"/>
        <extend val="0"/>
        <outline val="0"/>
        <shadow val="0"/>
        <u val="none"/>
        <vertAlign val="baseline"/>
        <sz val="11"/>
        <color theme="1"/>
        <name val="Aptos Narrow"/>
        <family val="2"/>
        <scheme val="minor"/>
      </font>
      <numFmt numFmtId="165" formatCode="0.00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dxf>
    <dxf>
      <numFmt numFmtId="0" formatCode="General"/>
    </dxf>
    <dxf>
      <numFmt numFmtId="164" formatCode="&quot;$&quot;#,##0.0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font>
        <strike val="0"/>
        <outline val="0"/>
        <shadow val="0"/>
        <u val="none"/>
        <vertAlign val="baseline"/>
        <sz val="10"/>
        <color theme="1"/>
        <name val="Aptos Narrow"/>
        <family val="2"/>
        <scheme val="minor"/>
      </font>
    </dxf>
    <dxf>
      <numFmt numFmtId="0" formatCode="General"/>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font>
        <strike val="0"/>
        <outline val="0"/>
        <shadow val="0"/>
        <u val="none"/>
        <vertAlign val="baseline"/>
        <sz val="10"/>
        <color theme="1"/>
        <name val="Aptos Narrow"/>
        <family val="2"/>
        <scheme val="minor"/>
      </font>
    </dxf>
    <dxf>
      <font>
        <b val="0"/>
        <i val="0"/>
        <strike val="0"/>
        <condense val="0"/>
        <extend val="0"/>
        <outline val="0"/>
        <shadow val="0"/>
        <u val="none"/>
        <vertAlign val="baseline"/>
        <sz val="12"/>
        <color theme="1"/>
        <name val="Aptos Narrow"/>
        <family val="2"/>
        <scheme val="minor"/>
      </font>
      <numFmt numFmtId="164" formatCode="&quot;$&quot;#,##0.00"/>
      <fill>
        <patternFill patternType="solid">
          <fgColor indexed="64"/>
          <bgColor theme="8" tint="0.79998168889431442"/>
        </patternFill>
      </fill>
    </dxf>
    <dxf>
      <numFmt numFmtId="164" formatCode="&quot;$&quot;#,##0.00"/>
    </dxf>
    <dxf>
      <font>
        <b val="0"/>
        <i val="0"/>
        <strike val="0"/>
        <condense val="0"/>
        <extend val="0"/>
        <outline val="0"/>
        <shadow val="0"/>
        <u val="none"/>
        <vertAlign val="baseline"/>
        <sz val="12"/>
        <color theme="1"/>
        <name val="Aptos Narrow"/>
        <family val="2"/>
        <scheme val="minor"/>
      </font>
      <fill>
        <patternFill patternType="solid">
          <fgColor indexed="64"/>
          <bgColor theme="8" tint="0.79998168889431442"/>
        </patternFill>
      </fill>
    </dxf>
    <dxf>
      <font>
        <strike val="0"/>
        <outline val="0"/>
        <shadow val="0"/>
        <u val="none"/>
        <vertAlign val="baseline"/>
        <sz val="12"/>
        <color theme="1"/>
        <name val="Aptos Narrow"/>
        <family val="2"/>
        <scheme val="minor"/>
      </font>
      <fill>
        <patternFill patternType="solid">
          <fgColor indexed="64"/>
          <bgColor theme="8" tint="0.79998168889431442"/>
        </patternFill>
      </fill>
    </dxf>
  </dxfs>
  <tableStyles count="0" defaultTableStyle="TableStyleMedium2" defaultPivotStyle="PivotStyleLight16"/>
  <colors>
    <mruColors>
      <color rgb="FFFFCC99"/>
      <color rgb="FFFF99CC"/>
      <color rgb="FFFF6699"/>
      <color rgb="FFFF0066"/>
      <color rgb="FFCC0066"/>
      <color rgb="FF990033"/>
      <color rgb="FF7F7F7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Income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stacked"/>
        <c:varyColors val="0"/>
        <c:ser>
          <c:idx val="0"/>
          <c:order val="0"/>
          <c:tx>
            <c:strRef>
              <c:f>Estimator!$B$35</c:f>
              <c:strCache>
                <c:ptCount val="1"/>
                <c:pt idx="0">
                  <c:v>Total Gross Wages:</c:v>
                </c:pt>
              </c:strCache>
            </c:strRef>
          </c:tx>
          <c:spPr>
            <a:solidFill>
              <a:schemeClr val="accent6">
                <a:lumMod val="60000"/>
                <a:lumOff val="40000"/>
              </a:schemeClr>
            </a:solidFill>
            <a:ln>
              <a:noFill/>
            </a:ln>
            <a:effectLst/>
          </c:spPr>
          <c:invertIfNegative val="0"/>
          <c:dLbls>
            <c:delete val="1"/>
          </c:dLbls>
          <c:cat>
            <c:strLit>
              <c:ptCount val="1"/>
              <c:pt idx="0">
                <c:v>Income</c:v>
              </c:pt>
            </c:strLit>
          </c:cat>
          <c:val>
            <c:numRef>
              <c:f>Estimator!$C$35</c:f>
              <c:numCache>
                <c:formatCode>"$"#,##0.00</c:formatCode>
                <c:ptCount val="1"/>
                <c:pt idx="0">
                  <c:v>80000</c:v>
                </c:pt>
              </c:numCache>
            </c:numRef>
          </c:val>
          <c:extLst>
            <c:ext xmlns:c16="http://schemas.microsoft.com/office/drawing/2014/chart" uri="{C3380CC4-5D6E-409C-BE32-E72D297353CC}">
              <c16:uniqueId val="{00000000-CC53-402E-B86A-446D355F650E}"/>
            </c:ext>
          </c:extLst>
        </c:ser>
        <c:ser>
          <c:idx val="1"/>
          <c:order val="1"/>
          <c:tx>
            <c:strRef>
              <c:f>Estimator!$B$36</c:f>
              <c:strCache>
                <c:ptCount val="1"/>
                <c:pt idx="0">
                  <c:v>Total Rental &amp; similar Income:</c:v>
                </c:pt>
              </c:strCache>
            </c:strRef>
          </c:tx>
          <c:spPr>
            <a:solidFill>
              <a:schemeClr val="tx2">
                <a:lumMod val="50000"/>
                <a:lumOff val="50000"/>
              </a:schemeClr>
            </a:solidFill>
            <a:ln>
              <a:noFill/>
            </a:ln>
            <a:effectLst/>
          </c:spPr>
          <c:invertIfNegative val="0"/>
          <c:dLbls>
            <c:delete val="1"/>
          </c:dLbls>
          <c:cat>
            <c:strLit>
              <c:ptCount val="1"/>
              <c:pt idx="0">
                <c:v>Income</c:v>
              </c:pt>
            </c:strLit>
          </c:cat>
          <c:val>
            <c:numRef>
              <c:f>Estimator!$C$36</c:f>
              <c:numCache>
                <c:formatCode>"$"#,##0.00</c:formatCode>
                <c:ptCount val="1"/>
                <c:pt idx="0">
                  <c:v>10000</c:v>
                </c:pt>
              </c:numCache>
            </c:numRef>
          </c:val>
          <c:extLst>
            <c:ext xmlns:c16="http://schemas.microsoft.com/office/drawing/2014/chart" uri="{C3380CC4-5D6E-409C-BE32-E72D297353CC}">
              <c16:uniqueId val="{00000001-CC53-402E-B86A-446D355F650E}"/>
            </c:ext>
          </c:extLst>
        </c:ser>
        <c:ser>
          <c:idx val="2"/>
          <c:order val="2"/>
          <c:tx>
            <c:strRef>
              <c:f>Estimator!$B$37</c:f>
              <c:strCache>
                <c:ptCount val="1"/>
                <c:pt idx="0">
                  <c:v>Total Long-term Capital Gains:</c:v>
                </c:pt>
              </c:strCache>
            </c:strRef>
          </c:tx>
          <c:spPr>
            <a:solidFill>
              <a:schemeClr val="accent5">
                <a:lumMod val="60000"/>
                <a:lumOff val="40000"/>
              </a:schemeClr>
            </a:solidFill>
            <a:ln>
              <a:noFill/>
            </a:ln>
            <a:effectLst/>
          </c:spPr>
          <c:invertIfNegative val="0"/>
          <c:dLbls>
            <c:delete val="1"/>
          </c:dLbls>
          <c:cat>
            <c:strLit>
              <c:ptCount val="1"/>
              <c:pt idx="0">
                <c:v>Income</c:v>
              </c:pt>
            </c:strLit>
          </c:cat>
          <c:val>
            <c:numRef>
              <c:f>Estimator!$C$37</c:f>
              <c:numCache>
                <c:formatCode>"$"#,##0.00</c:formatCode>
                <c:ptCount val="1"/>
                <c:pt idx="0">
                  <c:v>7000</c:v>
                </c:pt>
              </c:numCache>
            </c:numRef>
          </c:val>
          <c:extLst>
            <c:ext xmlns:c16="http://schemas.microsoft.com/office/drawing/2014/chart" uri="{C3380CC4-5D6E-409C-BE32-E72D297353CC}">
              <c16:uniqueId val="{00000002-CC53-402E-B86A-446D355F650E}"/>
            </c:ext>
          </c:extLst>
        </c:ser>
        <c:ser>
          <c:idx val="3"/>
          <c:order val="3"/>
          <c:tx>
            <c:strRef>
              <c:f>Estimator!$B$38</c:f>
              <c:strCache>
                <c:ptCount val="1"/>
                <c:pt idx="0">
                  <c:v>Total Short-term Capital Gains:</c:v>
                </c:pt>
              </c:strCache>
            </c:strRef>
          </c:tx>
          <c:spPr>
            <a:solidFill>
              <a:schemeClr val="accent2">
                <a:lumMod val="60000"/>
                <a:lumOff val="40000"/>
              </a:schemeClr>
            </a:solidFill>
            <a:ln>
              <a:noFill/>
            </a:ln>
            <a:effectLst/>
          </c:spPr>
          <c:invertIfNegative val="0"/>
          <c:dLbls>
            <c:delete val="1"/>
          </c:dLbls>
          <c:cat>
            <c:strLit>
              <c:ptCount val="1"/>
              <c:pt idx="0">
                <c:v>Income</c:v>
              </c:pt>
            </c:strLit>
          </c:cat>
          <c:val>
            <c:numRef>
              <c:f>Estimator!$C$38</c:f>
              <c:numCache>
                <c:formatCode>"$"#,##0.00</c:formatCode>
                <c:ptCount val="1"/>
                <c:pt idx="0">
                  <c:v>2000</c:v>
                </c:pt>
              </c:numCache>
            </c:numRef>
          </c:val>
          <c:extLst>
            <c:ext xmlns:c16="http://schemas.microsoft.com/office/drawing/2014/chart" uri="{C3380CC4-5D6E-409C-BE32-E72D297353CC}">
              <c16:uniqueId val="{00000003-CC53-402E-B86A-446D355F650E}"/>
            </c:ext>
          </c:extLst>
        </c:ser>
        <c:dLbls>
          <c:dLblPos val="ctr"/>
          <c:showLegendKey val="0"/>
          <c:showVal val="1"/>
          <c:showCatName val="0"/>
          <c:showSerName val="0"/>
          <c:showPercent val="0"/>
          <c:showBubbleSize val="0"/>
        </c:dLbls>
        <c:gapWidth val="150"/>
        <c:overlap val="100"/>
        <c:axId val="1176685008"/>
        <c:axId val="1176685488"/>
      </c:barChart>
      <c:catAx>
        <c:axId val="1176685008"/>
        <c:scaling>
          <c:orientation val="minMax"/>
        </c:scaling>
        <c:delete val="0"/>
        <c:axPos val="b"/>
        <c:numFmt formatCode="General" sourceLinked="1"/>
        <c:majorTickMark val="out"/>
        <c:minorTickMark val="none"/>
        <c:tickLblPos val="none"/>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488"/>
        <c:crosses val="autoZero"/>
        <c:auto val="1"/>
        <c:lblAlgn val="ctr"/>
        <c:lblOffset val="100"/>
        <c:noMultiLvlLbl val="0"/>
      </c:catAx>
      <c:valAx>
        <c:axId val="1176685488"/>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out"/>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008"/>
        <c:crosses val="autoZero"/>
        <c:crossBetween val="between"/>
      </c:valAx>
      <c:spPr>
        <a:noFill/>
        <a:ln>
          <a:noFill/>
        </a:ln>
        <a:effectLst/>
      </c:spPr>
    </c:plotArea>
    <c:legend>
      <c:legendPos val="r"/>
      <c:layout>
        <c:manualLayout>
          <c:xMode val="edge"/>
          <c:yMode val="edge"/>
          <c:x val="0.64666250000000003"/>
          <c:y val="0.21548214285714282"/>
          <c:w val="0.32687916666666667"/>
          <c:h val="0.69044126984126974"/>
        </c:manualLayout>
      </c:layout>
      <c:overlay val="0"/>
      <c:spPr>
        <a:noFill/>
        <a:ln>
          <a:solidFill>
            <a:schemeClr val="bg1">
              <a:lumMod val="95000"/>
            </a:schemeClr>
          </a:solid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2">
          <a:lumMod val="40000"/>
          <a:lumOff val="60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Extimated Tax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stacked"/>
        <c:varyColors val="0"/>
        <c:ser>
          <c:idx val="0"/>
          <c:order val="0"/>
          <c:tx>
            <c:strRef>
              <c:f>Estimator!$B$48</c:f>
              <c:strCache>
                <c:ptCount val="1"/>
                <c:pt idx="0">
                  <c:v>Effective Federal Income Tax</c:v>
                </c:pt>
              </c:strCache>
            </c:strRef>
          </c:tx>
          <c:spPr>
            <a:solidFill>
              <a:schemeClr val="accent2"/>
            </a:solidFill>
            <a:ln>
              <a:noFill/>
            </a:ln>
            <a:effectLst/>
          </c:spPr>
          <c:invertIfNegative val="0"/>
          <c:cat>
            <c:strLit>
              <c:ptCount val="1"/>
              <c:pt idx="0">
                <c:v>Extimated Tax</c:v>
              </c:pt>
            </c:strLit>
          </c:cat>
          <c:val>
            <c:numRef>
              <c:f>Estimator!$C$48</c:f>
              <c:numCache>
                <c:formatCode>"$"#,##0.00</c:formatCode>
                <c:ptCount val="1"/>
                <c:pt idx="0">
                  <c:v>10589</c:v>
                </c:pt>
              </c:numCache>
            </c:numRef>
          </c:val>
          <c:extLst>
            <c:ext xmlns:c16="http://schemas.microsoft.com/office/drawing/2014/chart" uri="{C3380CC4-5D6E-409C-BE32-E72D297353CC}">
              <c16:uniqueId val="{00000000-AB71-4894-9AE3-71A0D740D7AC}"/>
            </c:ext>
          </c:extLst>
        </c:ser>
        <c:ser>
          <c:idx val="1"/>
          <c:order val="1"/>
          <c:tx>
            <c:strRef>
              <c:f>Estimator!$B$49</c:f>
              <c:strCache>
                <c:ptCount val="1"/>
                <c:pt idx="0">
                  <c:v>Long Term Capital Gain Tax (LTCG)</c:v>
                </c:pt>
              </c:strCache>
            </c:strRef>
          </c:tx>
          <c:spPr>
            <a:solidFill>
              <a:schemeClr val="accent5"/>
            </a:solidFill>
            <a:ln>
              <a:noFill/>
            </a:ln>
            <a:effectLst/>
          </c:spPr>
          <c:invertIfNegative val="0"/>
          <c:cat>
            <c:strLit>
              <c:ptCount val="1"/>
              <c:pt idx="0">
                <c:v>Extimated Tax</c:v>
              </c:pt>
            </c:strLit>
          </c:cat>
          <c:val>
            <c:numRef>
              <c:f>Estimator!$C$49</c:f>
              <c:numCache>
                <c:formatCode>"$"#,##0.00</c:formatCode>
                <c:ptCount val="1"/>
                <c:pt idx="0">
                  <c:v>1050</c:v>
                </c:pt>
              </c:numCache>
            </c:numRef>
          </c:val>
          <c:extLst>
            <c:ext xmlns:c16="http://schemas.microsoft.com/office/drawing/2014/chart" uri="{C3380CC4-5D6E-409C-BE32-E72D297353CC}">
              <c16:uniqueId val="{00000001-AB71-4894-9AE3-71A0D740D7AC}"/>
            </c:ext>
          </c:extLst>
        </c:ser>
        <c:ser>
          <c:idx val="2"/>
          <c:order val="2"/>
          <c:tx>
            <c:strRef>
              <c:f>Estimator!$B$50</c:f>
              <c:strCache>
                <c:ptCount val="1"/>
                <c:pt idx="0">
                  <c:v>Social Security Tax</c:v>
                </c:pt>
              </c:strCache>
            </c:strRef>
          </c:tx>
          <c:spPr>
            <a:solidFill>
              <a:schemeClr val="tx2"/>
            </a:solidFill>
            <a:ln>
              <a:noFill/>
            </a:ln>
            <a:effectLst/>
          </c:spPr>
          <c:invertIfNegative val="0"/>
          <c:cat>
            <c:strLit>
              <c:ptCount val="1"/>
              <c:pt idx="0">
                <c:v>Extimated Tax</c:v>
              </c:pt>
            </c:strLit>
          </c:cat>
          <c:val>
            <c:numRef>
              <c:f>Estimator!$C$50</c:f>
              <c:numCache>
                <c:formatCode>"$"#,##0.00</c:formatCode>
                <c:ptCount val="1"/>
                <c:pt idx="0">
                  <c:v>4960</c:v>
                </c:pt>
              </c:numCache>
            </c:numRef>
          </c:val>
          <c:extLst>
            <c:ext xmlns:c16="http://schemas.microsoft.com/office/drawing/2014/chart" uri="{C3380CC4-5D6E-409C-BE32-E72D297353CC}">
              <c16:uniqueId val="{00000002-AB71-4894-9AE3-71A0D740D7AC}"/>
            </c:ext>
          </c:extLst>
        </c:ser>
        <c:ser>
          <c:idx val="3"/>
          <c:order val="3"/>
          <c:tx>
            <c:strRef>
              <c:f>Estimator!$B$51</c:f>
              <c:strCache>
                <c:ptCount val="1"/>
                <c:pt idx="0">
                  <c:v>Medicare Wages Tax</c:v>
                </c:pt>
              </c:strCache>
            </c:strRef>
          </c:tx>
          <c:spPr>
            <a:solidFill>
              <a:schemeClr val="accent6"/>
            </a:solidFill>
            <a:ln>
              <a:noFill/>
            </a:ln>
            <a:effectLst/>
          </c:spPr>
          <c:invertIfNegative val="0"/>
          <c:cat>
            <c:strLit>
              <c:ptCount val="1"/>
              <c:pt idx="0">
                <c:v>Extimated Tax</c:v>
              </c:pt>
            </c:strLit>
          </c:cat>
          <c:val>
            <c:numRef>
              <c:f>Estimator!$C$51</c:f>
              <c:numCache>
                <c:formatCode>"$"#,##0.00</c:formatCode>
                <c:ptCount val="1"/>
                <c:pt idx="0">
                  <c:v>1160</c:v>
                </c:pt>
              </c:numCache>
            </c:numRef>
          </c:val>
          <c:extLst>
            <c:ext xmlns:c16="http://schemas.microsoft.com/office/drawing/2014/chart" uri="{C3380CC4-5D6E-409C-BE32-E72D297353CC}">
              <c16:uniqueId val="{00000003-AB71-4894-9AE3-71A0D740D7AC}"/>
            </c:ext>
          </c:extLst>
        </c:ser>
        <c:ser>
          <c:idx val="4"/>
          <c:order val="4"/>
          <c:tx>
            <c:strRef>
              <c:f>Estimator!$B$52</c:f>
              <c:strCache>
                <c:ptCount val="1"/>
                <c:pt idx="0">
                  <c:v>Medicare Net Investment Income Tax (NIIT)</c:v>
                </c:pt>
              </c:strCache>
            </c:strRef>
          </c:tx>
          <c:spPr>
            <a:solidFill>
              <a:schemeClr val="accent3">
                <a:lumMod val="75000"/>
              </a:schemeClr>
            </a:solidFill>
            <a:ln>
              <a:noFill/>
            </a:ln>
            <a:effectLst/>
          </c:spPr>
          <c:invertIfNegative val="0"/>
          <c:cat>
            <c:strLit>
              <c:ptCount val="1"/>
              <c:pt idx="0">
                <c:v>Extimated Tax</c:v>
              </c:pt>
            </c:strLit>
          </c:cat>
          <c:val>
            <c:numRef>
              <c:f>Estimator!$C$52</c:f>
              <c:numCache>
                <c:formatCode>"$"#,##0.00</c:formatCode>
                <c:ptCount val="1"/>
                <c:pt idx="0">
                  <c:v>0</c:v>
                </c:pt>
              </c:numCache>
            </c:numRef>
          </c:val>
          <c:extLst>
            <c:ext xmlns:c16="http://schemas.microsoft.com/office/drawing/2014/chart" uri="{C3380CC4-5D6E-409C-BE32-E72D297353CC}">
              <c16:uniqueId val="{00000004-AB71-4894-9AE3-71A0D740D7AC}"/>
            </c:ext>
          </c:extLst>
        </c:ser>
        <c:ser>
          <c:idx val="5"/>
          <c:order val="5"/>
          <c:tx>
            <c:v>Net Income</c:v>
          </c:tx>
          <c:spPr>
            <a:noFill/>
            <a:ln>
              <a:noFill/>
            </a:ln>
            <a:effectLst/>
          </c:spPr>
          <c:invertIfNegative val="0"/>
          <c:cat>
            <c:strLit>
              <c:ptCount val="1"/>
              <c:pt idx="0">
                <c:v>Extimated Tax</c:v>
              </c:pt>
            </c:strLit>
          </c:cat>
          <c:val>
            <c:numRef>
              <c:f>Estimator!$G$50</c:f>
              <c:numCache>
                <c:formatCode>_("$"* #,##0_);_("$"* \(#,##0\);_("$"* "-"??_);_(@_)</c:formatCode>
                <c:ptCount val="1"/>
                <c:pt idx="0">
                  <c:v>81241</c:v>
                </c:pt>
              </c:numCache>
            </c:numRef>
          </c:val>
          <c:extLst>
            <c:ext xmlns:c16="http://schemas.microsoft.com/office/drawing/2014/chart" uri="{C3380CC4-5D6E-409C-BE32-E72D297353CC}">
              <c16:uniqueId val="{00000005-AB71-4894-9AE3-71A0D740D7AC}"/>
            </c:ext>
          </c:extLst>
        </c:ser>
        <c:dLbls>
          <c:showLegendKey val="0"/>
          <c:showVal val="0"/>
          <c:showCatName val="0"/>
          <c:showSerName val="0"/>
          <c:showPercent val="0"/>
          <c:showBubbleSize val="0"/>
        </c:dLbls>
        <c:gapWidth val="150"/>
        <c:overlap val="100"/>
        <c:axId val="1176685008"/>
        <c:axId val="1176685488"/>
      </c:barChart>
      <c:catAx>
        <c:axId val="1176685008"/>
        <c:scaling>
          <c:orientation val="minMax"/>
        </c:scaling>
        <c:delete val="0"/>
        <c:axPos val="b"/>
        <c:numFmt formatCode="General" sourceLinked="1"/>
        <c:majorTickMark val="out"/>
        <c:minorTickMark val="none"/>
        <c:tickLblPos val="none"/>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488"/>
        <c:crosses val="autoZero"/>
        <c:auto val="1"/>
        <c:lblAlgn val="ctr"/>
        <c:lblOffset val="100"/>
        <c:noMultiLvlLbl val="0"/>
      </c:catAx>
      <c:valAx>
        <c:axId val="117668548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008"/>
        <c:crosses val="autoZero"/>
        <c:crossBetween val="between"/>
      </c:valAx>
      <c:spPr>
        <a:noFill/>
        <a:ln>
          <a:noFill/>
        </a:ln>
        <a:effectLst/>
      </c:spPr>
    </c:plotArea>
    <c:legend>
      <c:legendPos val="l"/>
      <c:legendEntry>
        <c:idx val="0"/>
        <c:delete val="1"/>
      </c:legendEntry>
      <c:layout>
        <c:manualLayout>
          <c:xMode val="edge"/>
          <c:yMode val="edge"/>
          <c:x val="2.3041474654377881E-2"/>
          <c:y val="0.14595873015873015"/>
          <c:w val="0.3405415048925336"/>
          <c:h val="0.81895555555555544"/>
        </c:manualLayout>
      </c:layout>
      <c:overlay val="0"/>
      <c:spPr>
        <a:noFill/>
        <a:ln>
          <a:solidFill>
            <a:schemeClr val="bg1">
              <a:lumMod val="95000"/>
            </a:schemeClr>
          </a:solidFill>
        </a:ln>
        <a:effectLst/>
      </c:spPr>
      <c:txPr>
        <a:bodyPr rot="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FF99CC"/>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10</xdr:col>
      <xdr:colOff>784860</xdr:colOff>
      <xdr:row>43</xdr:row>
      <xdr:rowOff>7620</xdr:rowOff>
    </xdr:from>
    <xdr:to>
      <xdr:col>14</xdr:col>
      <xdr:colOff>571140</xdr:colOff>
      <xdr:row>56</xdr:row>
      <xdr:rowOff>66360</xdr:rowOff>
    </xdr:to>
    <xdr:graphicFrame macro="">
      <xdr:nvGraphicFramePr>
        <xdr:cNvPr id="7" name="Chart 6">
          <a:extLst>
            <a:ext uri="{FF2B5EF4-FFF2-40B4-BE49-F238E27FC236}">
              <a16:creationId xmlns:a16="http://schemas.microsoft.com/office/drawing/2014/main" id="{8360D3EA-188B-44C9-83E4-C6DA56A84F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30480</xdr:colOff>
      <xdr:row>43</xdr:row>
      <xdr:rowOff>7620</xdr:rowOff>
    </xdr:from>
    <xdr:to>
      <xdr:col>10</xdr:col>
      <xdr:colOff>693060</xdr:colOff>
      <xdr:row>56</xdr:row>
      <xdr:rowOff>66360</xdr:rowOff>
    </xdr:to>
    <xdr:graphicFrame macro="">
      <xdr:nvGraphicFramePr>
        <xdr:cNvPr id="8" name="Chart 7">
          <a:extLst>
            <a:ext uri="{FF2B5EF4-FFF2-40B4-BE49-F238E27FC236}">
              <a16:creationId xmlns:a16="http://schemas.microsoft.com/office/drawing/2014/main" id="{26240878-28C6-4D45-A3E9-B3FF976153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B2C4C05-A4CD-4ABD-8746-A0A5C626950C}" name="TotalTaxEstimateTable" displayName="TotalTaxEstimateTable" ref="B47:C53" totalsRowCount="1" totalsRowDxfId="106">
  <autoFilter ref="B47:C52" xr:uid="{4B2C4C05-A4CD-4ABD-8746-A0A5C626950C}">
    <filterColumn colId="0" hiddenButton="1"/>
    <filterColumn colId="1" hiddenButton="1"/>
  </autoFilter>
  <tableColumns count="2">
    <tableColumn id="1" xr3:uid="{E8BD8A82-10B9-4693-8933-F7822CBC40F3}" name="Tax Type" totalsRowLabel="Total Tax Estimate:" totalsRowDxfId="105"/>
    <tableColumn id="2" xr3:uid="{C88CC6E6-2576-418A-831C-83544F32D254}" name="Amount" totalsRowFunction="custom" dataDxfId="104" totalsRowDxfId="103">
      <totalsRowFormula xml:space="preserve"> SUBTOTAL(109,TotalTaxEstimateTable[Amount])</totalsRowFormula>
    </tableColumn>
  </tableColumns>
  <tableStyleInfo name="TableStyleLight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878F60B-C947-43DD-937D-EC557498FA4E}" name="FilingStatusTable" displayName="FilingStatusTable" ref="B9:C13" totalsRowShown="0" headerRowDxfId="102">
  <autoFilter ref="B9:C13" xr:uid="{1878F60B-C947-43DD-937D-EC557498FA4E}"/>
  <tableColumns count="2">
    <tableColumn id="1" xr3:uid="{A25F25B3-078E-49E5-87CB-98701A2E35F1}" name="Filing Status"/>
    <tableColumn id="3" xr3:uid="{90997C3D-5015-49C7-894A-59A32A3F51E3}" name="IsSelected" dataDxfId="101">
      <calculatedColumnFormula xml:space="preserve"> (FilingStatusTable[[#This Row],[Filing Status]] = EstimateInputFilingStatusCell)</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C2CD39C-EB76-453B-95AA-3330FE4842AD}" name="MedicareWageTaxRateTable" displayName="MedicareWageTaxRateTable" ref="F17:L43" totalsRowShown="0" headerRowDxfId="100">
  <autoFilter ref="F17:L43" xr:uid="{0C2CD39C-EB76-453B-95AA-3330FE4842AD}"/>
  <tableColumns count="7">
    <tableColumn id="8" xr3:uid="{8A98E453-3778-431E-936F-BA89B5D44CDD}" name="Filing Status" dataDxfId="99" dataCellStyle="Percent"/>
    <tableColumn id="5" xr3:uid="{05F95EED-AA5A-49B9-9A10-5A755DF84803}" name="Tax Year" dataDxfId="98" dataCellStyle="Percent"/>
    <tableColumn id="1" xr3:uid="{DD22D3C3-B777-4743-89CB-D8FB400651AD}" name="Medicare Rate"/>
    <tableColumn id="2" xr3:uid="{0F69A6C4-532B-44B4-9826-6BFF9AA018F8}" name="RangeStart" dataDxfId="97" dataCellStyle="Currency"/>
    <tableColumn id="3" xr3:uid="{88741EC0-296E-4C58-93CC-0C6D00870140}" name="RangeEnd" dataDxfId="96" dataCellStyle="Currency"/>
    <tableColumn id="6" xr3:uid="{BF0ADDB6-1F17-49CD-8DC4-CBF335C17E0D}" name="SumLowerRanges" dataDxfId="95"/>
    <tableColumn id="7" xr3:uid="{472ABD8D-C6D8-433F-A639-64DEC286121D}" name="IsSelected" dataDxfId="94">
      <calculatedColumnFormula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7ED18DA-4131-4B9C-8829-C18B5219A750}" name="SupportedYearsTable" displayName="SupportedYearsTable" ref="B19:C22" totalsRowShown="0" headerRowDxfId="93">
  <autoFilter ref="B19:C22" xr:uid="{67ED18DA-4131-4B9C-8829-C18B5219A750}"/>
  <tableColumns count="2">
    <tableColumn id="1" xr3:uid="{DD6CF09B-15E9-4AED-92BB-C88FFC6BC4EA}" name="Tax Year"/>
    <tableColumn id="2" xr3:uid="{FBAFDEBB-C52E-453F-977A-EC6C7B8F2087}" name="IsSelected" dataDxfId="92">
      <calculatedColumnFormula xml:space="preserve"> (SupportedYearsTable[[#This Row],[Tax Year]] = EstimateInputTaxYearCell)</calculatedColumnFormula>
    </tableColum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1DF536C-BE11-4DE7-848E-D86C87D28E45}" name="SocialSecurityTaxRateTable" displayName="SocialSecurityTaxRateTable" ref="F69:K83" totalsRowShown="0" headerRowDxfId="91">
  <autoFilter ref="F69:K83" xr:uid="{21DF536C-BE11-4DE7-848E-D86C87D28E45}"/>
  <tableColumns count="6">
    <tableColumn id="8" xr3:uid="{AD5D3799-5612-40EB-960C-AFCD3AB911F6}" name="Status LabelId" dataDxfId="90" dataCellStyle="Percent"/>
    <tableColumn id="5" xr3:uid="{5E4BFFA1-383C-4359-A038-38BEDB2E3159}" name="Tax Year" dataDxfId="89" dataCellStyle="Percent"/>
    <tableColumn id="1" xr3:uid="{E929603B-3753-4270-A848-68F817E5E267}" name="SocialSecurity Rate"/>
    <tableColumn id="3" xr3:uid="{D8229FEF-19C9-4DA2-BD3A-AD2F29BB3812}" name="Max Taxable Income" dataDxfId="88" dataCellStyle="Currency"/>
    <tableColumn id="6" xr3:uid="{9756E1F3-C562-4239-ABF6-3DE784AF36E0}" name="SumLowerRanges" dataDxfId="87"/>
    <tableColumn id="7" xr3:uid="{9BD19BCB-51F0-4D4E-BBC8-8EDF4E7735AE}" name="IsSelected" dataDxfId="86">
      <calculatedColumnFormula xml:space="preserve"> AND(
    (SocialSecurityTaxRateTable[[#This Row],[Tax Year]] = EstimateInputTaxYearCell),
    (SocialSecurityTaxRateTable[[#This Row],[Status LabelId]] = EstimateInputFilingStatusCell)
)</calculatedColumnFormula>
    </tableColumn>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EDE1AB8-78A0-46D6-9C99-57446D5FA60B}" name="MedicareNetInvestIncomeTaxTable" displayName="MedicareNetInvestIncomeTaxTable" ref="F49:J63" totalsRowShown="0">
  <autoFilter ref="F49:J63" xr:uid="{EEDE1AB8-78A0-46D6-9C99-57446D5FA60B}"/>
  <tableColumns count="5">
    <tableColumn id="1" xr3:uid="{3D906847-C052-4468-B4EC-2B1B0FD7344F}" name="Status LabelId" dataDxfId="85" dataCellStyle="Percent"/>
    <tableColumn id="2" xr3:uid="{C55CA524-4D6B-42AD-B2E8-10294F63EED0}" name="Tax Year" dataDxfId="84" dataCellStyle="Percent"/>
    <tableColumn id="3" xr3:uid="{AC64BB0C-7E64-4A8A-B469-46897482D40C}" name="NetInvestInc Rate" dataDxfId="83" dataCellStyle="Percent"/>
    <tableColumn id="4" xr3:uid="{17B91C93-8719-404C-9EFA-A77FA36D7F11}" name="Modified AGI Threshold" dataDxfId="82" dataCellStyle="Currency"/>
    <tableColumn id="5" xr3:uid="{E125096B-57E0-4DD8-90DD-18B3E868E56D}" name="IsSelected" dataDxfId="81">
      <calculatedColumnFormula xml:space="preserve"> AND(
    (MedicareNetInvestIncomeTaxTable[[#This Row],[Tax Year]] = EstimateInputTaxYearCell),
    (MedicareNetInvestIncomeTaxTable[[#This Row],[Status LabelId]] = EstimateInputFilingStatusCell)
)</calculatedColumnFormula>
    </tableColumn>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00D7F2C-722B-489E-8A17-9596B4CDFC18}" name="StandardDeductionAmountTable" displayName="StandardDeductionAmountTable" ref="F89:I103" totalsRowShown="0" headerRowDxfId="80">
  <autoFilter ref="F89:I103" xr:uid="{900D7F2C-722B-489E-8A17-9596B4CDFC18}"/>
  <tableColumns count="4">
    <tableColumn id="8" xr3:uid="{F076BA23-C676-4EF7-8D5A-728099A18FDA}" name="Status LabelId" dataDxfId="79" dataCellStyle="Percent"/>
    <tableColumn id="5" xr3:uid="{48EB948A-8AC1-44E1-AA7A-93E040F3EEC3}" name="Tax Year" dataDxfId="78" dataCellStyle="Percent"/>
    <tableColumn id="3" xr3:uid="{904603F6-A14D-484D-A547-A161F24DD894}" name="Standard _x000a_Deduction Amount" dataDxfId="77" dataCellStyle="Currency"/>
    <tableColumn id="7" xr3:uid="{8648642A-D722-4F7E-8193-8A7158E8C571}" name="IsSelected" dataDxfId="76">
      <calculatedColumnFormula xml:space="preserve"> AND(
    (StandardDeductionAmountTable[[#This Row],[Tax Year]] = EstimateInputTaxYearCell),
    (StandardDeductionAmountTable[[#This Row],[Status LabelId]] = EstimateInputFilingStatusCell)
)</calculatedColumnFormula>
    </tableColumn>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C477A3D-A6AA-4A14-BC17-0D4C4D76ABA7}" name="FederalIncomeTaxRateTable" displayName="FederalIncomeTaxRateTable" ref="F109:L195" totalsRowShown="0" headerRowDxfId="75">
  <autoFilter ref="F109:L195" xr:uid="{DC477A3D-A6AA-4A14-BC17-0D4C4D76ABA7}"/>
  <tableColumns count="7">
    <tableColumn id="8" xr3:uid="{A7BF99FD-7FA4-41DB-AC13-4BE54CF8ED80}" name="Status LabelId" dataDxfId="74" dataCellStyle="Percent"/>
    <tableColumn id="5" xr3:uid="{74A2EA3E-9DA7-42DB-BCAC-CB67D6ADEEBD}" name="Tax Year" dataDxfId="73" dataCellStyle="Percent"/>
    <tableColumn id="1" xr3:uid="{9C2EA428-808E-4221-9A9F-5F0CDAA0A8F0}" name="Federal Tax Rate"/>
    <tableColumn id="2" xr3:uid="{0BD12810-181B-4872-B4E9-605679BC5CD2}" name="RangeStart" dataDxfId="72" dataCellStyle="Currency"/>
    <tableColumn id="3" xr3:uid="{FDA81F84-6C77-4D00-9F24-12C3FD4AA757}" name="RangeEnd" dataDxfId="71" dataCellStyle="Currency"/>
    <tableColumn id="6" xr3:uid="{7CBF0FBD-DEB9-4A3C-9BC8-EBE9A6D0A975}" name="SumLowerRanges" dataDxfId="70"/>
    <tableColumn id="7" xr3:uid="{9699F651-6E5A-490A-AD3D-A613F360EAAD}" name="IsSelected" dataDxfId="69">
      <calculatedColumnFormula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calculatedColumnFormula>
    </tableColumn>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7186188-2370-4E1A-B04F-E7FDF05D3A34}" name="AlternativeMimumumTaxThresholdsTable" displayName="AlternativeMimumumTaxThresholdsTable" ref="F201:K215" totalsRowShown="0">
  <autoFilter ref="F201:K215" xr:uid="{47186188-2370-4E1A-B04F-E7FDF05D3A34}"/>
  <tableColumns count="6">
    <tableColumn id="1" xr3:uid="{2016040D-EABF-4CD7-A6B2-369B15D99C9D}" name="Status LabelId" dataDxfId="68" dataCellStyle="Percent"/>
    <tableColumn id="2" xr3:uid="{03246E6D-25A9-4C0B-8A16-5CACC12F31B8}" name="Tax Year" dataDxfId="67" dataCellStyle="Percent"/>
    <tableColumn id="3" xr3:uid="{657A0BDA-F5DF-455A-A7BA-B1BFCAD37C07}" name="AMT Exemption" dataDxfId="66" dataCellStyle="Percent"/>
    <tableColumn id="4" xr3:uid="{EAF3E9AD-E488-4B03-B379-94C0984BC74C}" name="Phaseout Threshold" dataDxfId="65" dataCellStyle="Currency"/>
    <tableColumn id="6" xr3:uid="{0E204060-9493-45B7-BEC1-085EB73889D5}" name="Phaseout Rate" dataDxfId="64" dataCellStyle="Currency"/>
    <tableColumn id="5" xr3:uid="{0EC6FDAF-1D58-44BA-B3EC-7E2DF69C7939}" name="IsSelected" dataDxfId="63">
      <calculatedColumnFormula xml:space="preserve"> AND(
    (AlternativeMimumumTaxThresholdsTable[[#This Row],[Tax Year]] = EstimateInputTaxYearCell),
    (AlternativeMimumumTaxThresholdsTable[[#This Row],[Status LabelId]] = EstimateInputFilingStatusCell)
)</calculatedColumnFormula>
    </tableColumn>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62CEEA-D220-41E3-92E9-3867D62F7529}" name="AlternativeMinimumTaxRateTable" displayName="AlternativeMinimumTaxRateTable" ref="F221:L247" totalsRowShown="0" headerRowDxfId="62">
  <autoFilter ref="F221:L247" xr:uid="{9E62CEEA-D220-41E3-92E9-3867D62F7529}"/>
  <tableColumns count="7">
    <tableColumn id="8" xr3:uid="{A800F939-77F1-44AE-BFE8-E011BCEC37F6}" name="Status LabelId" dataDxfId="61" dataCellStyle="Percent"/>
    <tableColumn id="5" xr3:uid="{B08E48AD-06C2-47F1-88E2-FA76D6E3BBF0}" name="Tax Year" dataDxfId="60" dataCellStyle="Percent"/>
    <tableColumn id="1" xr3:uid="{E30A5978-1046-4461-A787-A5742FDED3AE}" name="AMT Rate"/>
    <tableColumn id="2" xr3:uid="{9761E1E9-15E2-4336-A26B-850F68848F5E}" name="RangeStart" dataDxfId="59" dataCellStyle="Currency"/>
    <tableColumn id="3" xr3:uid="{12DBF1AB-2AE6-4BBA-8B95-BEE9EC09003D}" name="RangeEnd" dataDxfId="58" dataCellStyle="Currency"/>
    <tableColumn id="6" xr3:uid="{6AF342CB-86CB-4F68-A508-0FAC77D3E24E}" name="SumLowerRanges" dataDxfId="57"/>
    <tableColumn id="7" xr3:uid="{42ACC4F0-41F2-45C3-B1D5-BBC5A590B3DD}" name="IsSelected" dataDxfId="56">
      <calculatedColumnFormula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calculatedColumnFormula>
    </tableColumn>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C93E099-9465-49FE-9AEE-0EF3D993BF29}" name="LongTermCapitalGainsTaxRateTable" displayName="LongTermCapitalGainsTaxRateTable" ref="F253:M291" totalsRowShown="0" headerRowDxfId="55">
  <autoFilter ref="F253:M291" xr:uid="{4C93E099-9465-49FE-9AEE-0EF3D993BF29}"/>
  <tableColumns count="8">
    <tableColumn id="8" xr3:uid="{DEBAED59-1B6B-4C70-AE7D-2D5551B2E829}" name="Status LabelId" dataDxfId="54" dataCellStyle="Percent"/>
    <tableColumn id="5" xr3:uid="{955CF89F-20A8-47A3-89A1-C34870A5FCB4}" name="Tax Year" dataDxfId="53" dataCellStyle="Percent"/>
    <tableColumn id="1" xr3:uid="{73191AAD-16E7-4327-B394-088B48317081}" name="LTCG Rate"/>
    <tableColumn id="2" xr3:uid="{E1506880-D2AA-44CF-B909-8E489A1810DF}" name="RangeStart" dataDxfId="52" dataCellStyle="Currency"/>
    <tableColumn id="3" xr3:uid="{44EF5A89-256D-4283-BB4A-645C1F0E66AB}" name="RangeEnd" dataDxfId="51" dataCellStyle="Currency"/>
    <tableColumn id="6" xr3:uid="{9BD11CF5-5335-4896-82F1-5A1E79A53F6A}" name="SumLowerRanges" dataDxfId="50"/>
    <tableColumn id="7" xr3:uid="{F5E66BFA-83E4-4E26-98C5-C3A24FDF83D0}" name="IsBracketStart" dataDxfId="49">
      <calculatedColumnFormula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calculatedColumnFormula>
    </tableColumn>
    <tableColumn id="4" xr3:uid="{B5B2FB37-DDBF-47EA-A3D1-4F9356168066}" name="IsBracketEnd" dataDxfId="48">
      <calculatedColumnFormula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macrogreg.github.io/Combined-Income-Tax-Estimator/" TargetMode="External"/><Relationship Id="rId2" Type="http://schemas.openxmlformats.org/officeDocument/2006/relationships/hyperlink" Target="https://macrogreg.github.io/Combined-Income-Tax-Estimator/" TargetMode="External"/><Relationship Id="rId1" Type="http://schemas.openxmlformats.org/officeDocument/2006/relationships/hyperlink" Target="https://github.com/macrogreg/Combined-Income-Tax-Estimator" TargetMode="External"/><Relationship Id="rId4" Type="http://schemas.openxmlformats.org/officeDocument/2006/relationships/hyperlink" Target="https://macrogreg.github.io/Combined-Income-Tax-Estimator/"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hyperlink" Target="https://macrogreg.github.io/Combined-Income-Tax-Estimator/" TargetMode="External"/></Relationships>
</file>

<file path=xl/worksheets/_rels/sheet3.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hyperlink" Target="https://macrogreg.github.io/Combined-Income-Tax-Estimator/" TargetMode="Externa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05775-5D08-4EA7-A2E6-803BF37BCEA6}">
  <dimension ref="B2:B23"/>
  <sheetViews>
    <sheetView tabSelected="1" workbookViewId="0">
      <selection activeCell="B2" sqref="B2"/>
    </sheetView>
  </sheetViews>
  <sheetFormatPr defaultRowHeight="14.4" x14ac:dyDescent="0.3"/>
  <cols>
    <col min="2" max="2" width="89.6640625" style="77" customWidth="1"/>
  </cols>
  <sheetData>
    <row r="2" spans="2:2" ht="19.8" x14ac:dyDescent="0.3">
      <c r="B2" s="89" t="s">
        <v>0</v>
      </c>
    </row>
    <row r="3" spans="2:2" x14ac:dyDescent="0.3">
      <c r="B3" s="87" t="s">
        <v>1</v>
      </c>
    </row>
    <row r="4" spans="2:2" x14ac:dyDescent="0.3">
      <c r="B4" s="86" t="s">
        <v>2</v>
      </c>
    </row>
    <row r="6" spans="2:2" ht="18" thickBot="1" x14ac:dyDescent="0.35">
      <c r="B6" s="75" t="s">
        <v>3</v>
      </c>
    </row>
    <row r="7" spans="2:2" ht="217.5" customHeight="1" thickTop="1" x14ac:dyDescent="0.3">
      <c r="B7" s="80" t="s">
        <v>4</v>
      </c>
    </row>
    <row r="9" spans="2:2" ht="17.399999999999999" x14ac:dyDescent="0.3">
      <c r="B9" s="75" t="s">
        <v>5</v>
      </c>
    </row>
    <row r="10" spans="2:2" x14ac:dyDescent="0.3">
      <c r="B10" t="s">
        <v>6</v>
      </c>
    </row>
    <row r="11" spans="2:2" x14ac:dyDescent="0.3">
      <c r="B11" s="90" t="s">
        <v>2</v>
      </c>
    </row>
    <row r="12" spans="2:2" ht="127.2" x14ac:dyDescent="0.3">
      <c r="B12" s="80" t="s">
        <v>7</v>
      </c>
    </row>
    <row r="13" spans="2:2" x14ac:dyDescent="0.3">
      <c r="B13" s="88" t="s">
        <v>8</v>
      </c>
    </row>
    <row r="14" spans="2:2" x14ac:dyDescent="0.3">
      <c r="B14" s="82" t="s">
        <v>2</v>
      </c>
    </row>
    <row r="15" spans="2:2" x14ac:dyDescent="0.3">
      <c r="B15" s="81" t="s">
        <v>9</v>
      </c>
    </row>
    <row r="16" spans="2:2" x14ac:dyDescent="0.3">
      <c r="B16" s="82" t="s">
        <v>10</v>
      </c>
    </row>
    <row r="18" spans="2:2" ht="15" thickBot="1" x14ac:dyDescent="0.35">
      <c r="B18" s="78" t="s">
        <v>11</v>
      </c>
    </row>
    <row r="19" spans="2:2" ht="86.4" x14ac:dyDescent="0.3">
      <c r="B19" s="76" t="s">
        <v>12</v>
      </c>
    </row>
    <row r="22" spans="2:2" ht="15" thickBot="1" x14ac:dyDescent="0.35">
      <c r="B22" s="78" t="s">
        <v>13</v>
      </c>
    </row>
    <row r="23" spans="2:2" ht="81.75" customHeight="1" x14ac:dyDescent="0.3">
      <c r="B23" s="76" t="s">
        <v>14</v>
      </c>
    </row>
  </sheetData>
  <hyperlinks>
    <hyperlink ref="B16" r:id="rId1" xr:uid="{AF5B704B-2169-4D38-B0A1-DEA648950453}"/>
    <hyperlink ref="B4" r:id="rId2" xr:uid="{EB7446F1-0F1B-4D1C-A5F4-61EEC8B5954B}"/>
    <hyperlink ref="B14" r:id="rId3" xr:uid="{F389AEE4-E2E9-4F79-9386-9FC09DB38250}"/>
    <hyperlink ref="B11" r:id="rId4" xr:uid="{E0021680-B0A7-496D-BA99-05FC3A56A14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C6EDB-238C-426D-8833-759D995A4981}">
  <dimension ref="B2:L129"/>
  <sheetViews>
    <sheetView workbookViewId="0">
      <selection activeCell="B2" sqref="B2"/>
    </sheetView>
  </sheetViews>
  <sheetFormatPr defaultRowHeight="14.4" x14ac:dyDescent="0.3"/>
  <cols>
    <col min="2" max="2" width="36.6640625" customWidth="1"/>
    <col min="3" max="3" width="17.88671875" customWidth="1"/>
    <col min="4" max="5" width="10.44140625" customWidth="1"/>
    <col min="6" max="6" width="41.33203125" customWidth="1"/>
    <col min="7" max="7" width="17.44140625" bestFit="1" customWidth="1"/>
    <col min="8" max="9" width="10.44140625" customWidth="1"/>
    <col min="10" max="10" width="32.33203125" customWidth="1"/>
    <col min="11" max="11" width="15.33203125" customWidth="1"/>
    <col min="12" max="13" width="10.44140625" customWidth="1"/>
  </cols>
  <sheetData>
    <row r="2" spans="2:11" ht="15.6" x14ac:dyDescent="0.3">
      <c r="B2" s="23" t="s">
        <v>15</v>
      </c>
      <c r="C2" s="23" t="s">
        <v>2</v>
      </c>
      <c r="D2" s="23"/>
      <c r="E2" s="23"/>
      <c r="F2" s="23"/>
    </row>
    <row r="3" spans="2:11" s="85" customFormat="1" ht="10.8" x14ac:dyDescent="0.25">
      <c r="B3" s="84"/>
    </row>
    <row r="4" spans="2:11" s="30" customFormat="1" ht="15.6" x14ac:dyDescent="0.3">
      <c r="B4" s="23" t="s">
        <v>16</v>
      </c>
      <c r="C4"/>
      <c r="F4" s="65" t="s">
        <v>17</v>
      </c>
      <c r="G4"/>
    </row>
    <row r="5" spans="2:11" s="30" customFormat="1" ht="15.6" x14ac:dyDescent="0.3">
      <c r="B5" s="23" t="s">
        <v>18</v>
      </c>
      <c r="C5"/>
      <c r="F5" s="64" t="s">
        <v>19</v>
      </c>
      <c r="G5"/>
    </row>
    <row r="7" spans="2:11" ht="18" thickBot="1" x14ac:dyDescent="0.4">
      <c r="B7" s="15" t="s">
        <v>163</v>
      </c>
      <c r="C7" s="15"/>
      <c r="D7" s="15"/>
      <c r="E7" s="15"/>
      <c r="F7" s="15"/>
      <c r="G7" s="15"/>
      <c r="H7" s="15"/>
      <c r="I7" s="15"/>
      <c r="J7" s="15"/>
      <c r="K7" s="15"/>
    </row>
    <row r="8" spans="2:11" ht="15" thickTop="1" x14ac:dyDescent="0.3">
      <c r="B8" s="96" t="s">
        <v>20</v>
      </c>
      <c r="C8" s="96"/>
    </row>
    <row r="9" spans="2:11" x14ac:dyDescent="0.3">
      <c r="B9" s="67"/>
    </row>
    <row r="10" spans="2:11" x14ac:dyDescent="0.3">
      <c r="B10" s="3" t="s">
        <v>21</v>
      </c>
      <c r="C10" s="8">
        <v>2025</v>
      </c>
      <c r="F10" s="3" t="s">
        <v>22</v>
      </c>
      <c r="G10" s="8" t="s">
        <v>23</v>
      </c>
    </row>
    <row r="11" spans="2:11" x14ac:dyDescent="0.3">
      <c r="B11" s="3"/>
      <c r="F11" s="19"/>
      <c r="G11" s="20"/>
    </row>
    <row r="12" spans="2:11" ht="15" thickBot="1" x14ac:dyDescent="0.35">
      <c r="B12" s="37" t="s">
        <v>24</v>
      </c>
      <c r="C12" s="37"/>
      <c r="D12" s="12"/>
      <c r="F12" s="37" t="s">
        <v>25</v>
      </c>
      <c r="G12" s="37"/>
      <c r="J12" s="37" t="s">
        <v>26</v>
      </c>
      <c r="K12" s="37"/>
    </row>
    <row r="13" spans="2:11" x14ac:dyDescent="0.3">
      <c r="B13" s="26" t="s">
        <v>27</v>
      </c>
      <c r="D13" s="12"/>
      <c r="F13" s="26" t="s">
        <v>28</v>
      </c>
      <c r="J13" s="26" t="s">
        <v>29</v>
      </c>
    </row>
    <row r="15" spans="2:11" x14ac:dyDescent="0.3">
      <c r="B15" t="s">
        <v>30</v>
      </c>
      <c r="C15" s="9">
        <v>80000</v>
      </c>
      <c r="F15" t="s">
        <v>31</v>
      </c>
      <c r="G15" s="9">
        <v>5000</v>
      </c>
      <c r="J15" s="46" t="s">
        <v>32</v>
      </c>
      <c r="K15" s="42"/>
    </row>
    <row r="16" spans="2:11" x14ac:dyDescent="0.3">
      <c r="B16" t="s">
        <v>33</v>
      </c>
      <c r="C16" s="9">
        <v>0</v>
      </c>
      <c r="F16" t="s">
        <v>34</v>
      </c>
      <c r="G16" s="9">
        <v>0</v>
      </c>
      <c r="J16" t="s">
        <v>35</v>
      </c>
      <c r="K16" s="2">
        <f>_xlfn.XLOOKUP(TRUE, StandardDeductionAmountTable[IsSelected], StandardDeductionAmountTable[Standard 
Deduction Amount], NotFoundLabelCell)</f>
        <v>15750</v>
      </c>
    </row>
    <row r="17" spans="2:12" ht="15" thickBot="1" x14ac:dyDescent="0.35">
      <c r="B17" s="10" t="s">
        <v>36</v>
      </c>
      <c r="C17" s="11">
        <v>0</v>
      </c>
      <c r="F17" s="10" t="s">
        <v>37</v>
      </c>
      <c r="G17" s="11">
        <v>0</v>
      </c>
      <c r="J17" s="10" t="s">
        <v>38</v>
      </c>
      <c r="K17" s="11">
        <v>0</v>
      </c>
      <c r="L17" s="43" t="s">
        <v>39</v>
      </c>
    </row>
    <row r="18" spans="2:12" x14ac:dyDescent="0.3">
      <c r="B18" s="3" t="s">
        <v>40</v>
      </c>
      <c r="C18" s="4">
        <f>SUM(C15:C17)</f>
        <v>80000</v>
      </c>
      <c r="D18" s="43" t="str">
        <f xml:space="preserve"> IF(
    AND(0 &lt;= C18, C18 &lt;= MaxIncomeCell),
    InRangeLabelCell,
    OutOfRangeLabelCell
)</f>
        <v>✔</v>
      </c>
      <c r="F18" s="3" t="s">
        <v>41</v>
      </c>
      <c r="G18" s="4">
        <f>SUM(G15:G17)</f>
        <v>5000</v>
      </c>
      <c r="H18" s="43" t="str">
        <f xml:space="preserve"> IF(
    AND(0 &lt;= G18, G18 &lt;= MaxIncomeCell),
    InRangeLabelCell,
    OutOfRangeLabelCell
)</f>
        <v>✔</v>
      </c>
      <c r="J18" s="3" t="s">
        <v>42</v>
      </c>
      <c r="K18" s="4">
        <f xml:space="preserve"> MAX(K16:K17)</f>
        <v>15750</v>
      </c>
    </row>
    <row r="19" spans="2:12" x14ac:dyDescent="0.3">
      <c r="B19" s="19"/>
      <c r="C19" s="20"/>
    </row>
    <row r="20" spans="2:12" x14ac:dyDescent="0.3">
      <c r="B20" s="19"/>
      <c r="C20" s="20"/>
    </row>
    <row r="21" spans="2:12" ht="15" thickBot="1" x14ac:dyDescent="0.35">
      <c r="B21" s="37" t="s">
        <v>43</v>
      </c>
      <c r="C21" s="37"/>
      <c r="F21" s="37" t="s">
        <v>44</v>
      </c>
      <c r="G21" s="37"/>
      <c r="J21" s="37" t="s">
        <v>45</v>
      </c>
      <c r="K21" s="37"/>
    </row>
    <row r="22" spans="2:12" x14ac:dyDescent="0.3">
      <c r="B22" s="26" t="s">
        <v>46</v>
      </c>
      <c r="F22" s="26" t="s">
        <v>47</v>
      </c>
      <c r="J22" s="26" t="s">
        <v>48</v>
      </c>
    </row>
    <row r="23" spans="2:12" x14ac:dyDescent="0.3">
      <c r="B23" s="19"/>
      <c r="C23" s="20"/>
    </row>
    <row r="24" spans="2:12" x14ac:dyDescent="0.3">
      <c r="B24" t="s">
        <v>49</v>
      </c>
      <c r="C24" s="9">
        <v>10000</v>
      </c>
      <c r="F24" t="s">
        <v>50</v>
      </c>
      <c r="G24" s="9">
        <v>7000</v>
      </c>
      <c r="J24" t="s">
        <v>51</v>
      </c>
      <c r="K24" s="9">
        <v>2000</v>
      </c>
    </row>
    <row r="25" spans="2:12" x14ac:dyDescent="0.3">
      <c r="B25" t="s">
        <v>52</v>
      </c>
      <c r="C25" s="9">
        <v>0</v>
      </c>
      <c r="F25" t="s">
        <v>53</v>
      </c>
      <c r="G25" s="9">
        <v>0</v>
      </c>
      <c r="J25" t="s">
        <v>54</v>
      </c>
      <c r="K25" s="9">
        <v>0</v>
      </c>
    </row>
    <row r="26" spans="2:12" ht="15" thickBot="1" x14ac:dyDescent="0.35">
      <c r="B26" s="10" t="s">
        <v>55</v>
      </c>
      <c r="C26" s="11">
        <v>0</v>
      </c>
      <c r="F26" s="10" t="s">
        <v>56</v>
      </c>
      <c r="G26" s="11">
        <v>0</v>
      </c>
      <c r="J26" s="10" t="s">
        <v>57</v>
      </c>
      <c r="K26" s="11">
        <v>0</v>
      </c>
    </row>
    <row r="27" spans="2:12" x14ac:dyDescent="0.3">
      <c r="B27" s="3" t="s">
        <v>58</v>
      </c>
      <c r="C27" s="4">
        <f>SUM(C24:C26)</f>
        <v>10000</v>
      </c>
      <c r="D27" s="43" t="str">
        <f xml:space="preserve"> IF(
    AND(0 &lt;= C27, C27 &lt;= MaxIncomeCell),
    InRangeLabelCell,
    OutOfRangeLabelCell
)</f>
        <v>✔</v>
      </c>
      <c r="F27" s="3" t="s">
        <v>59</v>
      </c>
      <c r="G27" s="4">
        <f>SUM(G24:G26)</f>
        <v>7000</v>
      </c>
      <c r="H27" s="43" t="str">
        <f xml:space="preserve"> IF(
    AND(0 &lt;= G27, G27 &lt;= MaxIncomeCell),
    InRangeLabelCell,
    OutOfRangeLabelCell
)</f>
        <v>✔</v>
      </c>
      <c r="J27" s="3" t="s">
        <v>60</v>
      </c>
      <c r="K27" s="4">
        <f>SUM(K24:K26)</f>
        <v>2000</v>
      </c>
      <c r="L27" s="43" t="str">
        <f xml:space="preserve"> IF(
    AND(0 &lt;= K27, K27 &lt;= MaxIncomeCell),
    InRangeLabelCell,
    OutOfRangeLabelCell
)</f>
        <v>✔</v>
      </c>
    </row>
    <row r="28" spans="2:12" x14ac:dyDescent="0.3">
      <c r="B28" s="38"/>
      <c r="C28" s="38"/>
      <c r="F28" s="38"/>
      <c r="G28" s="38"/>
      <c r="J28" s="38"/>
      <c r="K28" s="38"/>
    </row>
    <row r="29" spans="2:12" x14ac:dyDescent="0.3">
      <c r="B29" s="38"/>
      <c r="C29" s="38"/>
      <c r="F29" s="38"/>
      <c r="G29" s="38"/>
      <c r="J29" s="38"/>
      <c r="K29" s="38"/>
    </row>
    <row r="30" spans="2:12" ht="18" thickBot="1" x14ac:dyDescent="0.4">
      <c r="B30" s="39" t="s">
        <v>61</v>
      </c>
      <c r="C30" s="39"/>
      <c r="D30" s="40"/>
      <c r="E30" s="40"/>
      <c r="F30" s="39"/>
      <c r="G30" s="39"/>
      <c r="H30" s="40"/>
      <c r="I30" s="40"/>
      <c r="J30" s="39"/>
      <c r="K30" s="39"/>
    </row>
    <row r="31" spans="2:12" ht="15" thickTop="1" x14ac:dyDescent="0.3">
      <c r="B31" s="96" t="s">
        <v>62</v>
      </c>
      <c r="C31" s="96"/>
    </row>
    <row r="32" spans="2:12" x14ac:dyDescent="0.3">
      <c r="B32" s="38"/>
      <c r="C32" s="38"/>
    </row>
    <row r="33" spans="2:11" ht="15" thickBot="1" x14ac:dyDescent="0.35">
      <c r="B33" s="37" t="s">
        <v>63</v>
      </c>
      <c r="C33" s="37"/>
      <c r="F33" s="37" t="s">
        <v>64</v>
      </c>
      <c r="G33" s="41"/>
    </row>
    <row r="35" spans="2:11" x14ac:dyDescent="0.3">
      <c r="B35" t="str">
        <f>$B$18</f>
        <v>Total Gross Wages:</v>
      </c>
      <c r="C35" s="2">
        <f xml:space="preserve"> $C$18</f>
        <v>80000</v>
      </c>
      <c r="D35" s="66" t="str">
        <f ca="1">_xlfn.LET(
    _xlpm.FormulaText, _xlfn.FORMULATEXT(C35),
    HYPERLINK(
        "#" &amp; SUBSTITUTE(_xlpm.FormulaText, "=", ""),
        _xlpm.FormulaText
    )
)</f>
        <v>= $C$18</v>
      </c>
      <c r="F35" t="str">
        <f>$B$18</f>
        <v>Total Gross Wages:</v>
      </c>
      <c r="G35" s="2">
        <f xml:space="preserve"> $C$18</f>
        <v>80000</v>
      </c>
      <c r="H35" s="66" t="str">
        <f ca="1">_xlfn.LET(
    _xlpm.FormulaText, _xlfn.FORMULATEXT(G35),
    HYPERLINK(
        "#" &amp; SUBSTITUTE(_xlpm.FormulaText, "=", ""),
        _xlpm.FormulaText
    )
)</f>
        <v>= $C$18</v>
      </c>
    </row>
    <row r="36" spans="2:11" x14ac:dyDescent="0.3">
      <c r="B36" t="str">
        <f>$B$27</f>
        <v>Total Rental &amp; similar Income:</v>
      </c>
      <c r="C36" s="2">
        <f xml:space="preserve"> $C$27</f>
        <v>10000</v>
      </c>
      <c r="D36" s="66" t="str">
        <f t="shared" ref="D36:D38" ca="1" si="0">_xlfn.LET(
    _xlpm.FormulaText, _xlfn.FORMULATEXT(C36),
    HYPERLINK(
        "#" &amp; SUBSTITUTE(_xlpm.FormulaText, "=", ""),
        _xlpm.FormulaText
    )
)</f>
        <v>= $C$27</v>
      </c>
      <c r="F36" t="str">
        <f>$B$27</f>
        <v>Total Rental &amp; similar Income:</v>
      </c>
      <c r="G36" s="2">
        <f xml:space="preserve"> $C$27</f>
        <v>10000</v>
      </c>
      <c r="H36" s="66" t="str">
        <f t="shared" ref="H36:H38" ca="1" si="1">_xlfn.LET(
    _xlpm.FormulaText, _xlfn.FORMULATEXT(G36),
    HYPERLINK(
        "#" &amp; SUBSTITUTE(_xlpm.FormulaText, "=", ""),
        _xlpm.FormulaText
    )
)</f>
        <v>= $C$27</v>
      </c>
    </row>
    <row r="37" spans="2:11" x14ac:dyDescent="0.3">
      <c r="B37" t="str">
        <f>$F$27</f>
        <v>Total Long-term Capital Gains:</v>
      </c>
      <c r="C37" s="2">
        <f xml:space="preserve"> $G$27</f>
        <v>7000</v>
      </c>
      <c r="D37" s="66" t="str">
        <f t="shared" ca="1" si="0"/>
        <v>= $G$27</v>
      </c>
      <c r="F37" t="str">
        <f>$F$27</f>
        <v>Total Long-term Capital Gains:</v>
      </c>
      <c r="G37" s="2">
        <f xml:space="preserve"> $G$27</f>
        <v>7000</v>
      </c>
      <c r="H37" s="66" t="str">
        <f t="shared" ca="1" si="1"/>
        <v>= $G$27</v>
      </c>
    </row>
    <row r="38" spans="2:11" ht="15" thickBot="1" x14ac:dyDescent="0.35">
      <c r="B38" s="10" t="str">
        <f>$J$27</f>
        <v>Total Short-term Capital Gains:</v>
      </c>
      <c r="C38" s="25">
        <f xml:space="preserve"> $K$27</f>
        <v>2000</v>
      </c>
      <c r="D38" s="66" t="str">
        <f t="shared" ca="1" si="0"/>
        <v>= $K$27</v>
      </c>
      <c r="F38" t="str">
        <f>$J$27</f>
        <v>Total Short-term Capital Gains:</v>
      </c>
      <c r="G38" s="2">
        <f xml:space="preserve"> $K$27</f>
        <v>2000</v>
      </c>
      <c r="H38" s="66" t="str">
        <f t="shared" ca="1" si="1"/>
        <v>= $K$27</v>
      </c>
    </row>
    <row r="39" spans="2:11" ht="15" thickBot="1" x14ac:dyDescent="0.35">
      <c r="B39" s="3" t="s">
        <v>65</v>
      </c>
      <c r="C39" s="4">
        <f xml:space="preserve"> SUM(C35:C38)</f>
        <v>99000</v>
      </c>
      <c r="D39" s="43" t="str">
        <f xml:space="preserve"> IF(
    AND(0 &lt;= C39, C39 &lt;= MaxIncomeCell),
    InRangeLabelCell,
    OutOfRangeLabelCell
)</f>
        <v>✔</v>
      </c>
      <c r="F39" s="10" t="str">
        <f>$F$18</f>
        <v>Total AGI above-the-line Deductions:</v>
      </c>
      <c r="G39" s="25">
        <f xml:space="preserve"> - $G$18</f>
        <v>-5000</v>
      </c>
      <c r="H39" s="66" t="str">
        <f ca="1">_xlfn.LET(
    _xlpm.FormulaText, _xlfn.FORMULATEXT(G39),
    HYPERLINK(
        "#" &amp; SUBSTITUTE(SUBSTITUTE(_xlpm.FormulaText, "-", ""), "=", ""),
        _xlpm.FormulaText
    )
)</f>
        <v>= - $G$18</v>
      </c>
    </row>
    <row r="40" spans="2:11" x14ac:dyDescent="0.3">
      <c r="F40" s="3" t="s">
        <v>66</v>
      </c>
      <c r="G40" s="4">
        <f>SUM(G35:G39)</f>
        <v>94000</v>
      </c>
      <c r="H40" s="43" t="str">
        <f xml:space="preserve"> IF(
    AND(0 &lt;= G40, G40 &lt;= MaxIncomeCell),
    InRangeLabelCell,
    OutOfRangeLabelCell
)</f>
        <v>✔</v>
      </c>
    </row>
    <row r="41" spans="2:11" x14ac:dyDescent="0.3">
      <c r="G41" s="2"/>
      <c r="H41" s="38"/>
    </row>
    <row r="42" spans="2:11" ht="18" thickBot="1" x14ac:dyDescent="0.4">
      <c r="B42" s="39" t="s">
        <v>67</v>
      </c>
      <c r="C42" s="39"/>
      <c r="D42" s="40"/>
      <c r="E42" s="40"/>
      <c r="F42" s="39"/>
      <c r="G42" s="39"/>
      <c r="H42" s="40"/>
      <c r="I42" s="40"/>
      <c r="J42" s="39"/>
      <c r="K42" s="39"/>
    </row>
    <row r="43" spans="2:11" ht="15" thickTop="1" x14ac:dyDescent="0.3">
      <c r="B43" s="96" t="s">
        <v>68</v>
      </c>
      <c r="C43" s="96"/>
    </row>
    <row r="45" spans="2:11" ht="15" thickBot="1" x14ac:dyDescent="0.35">
      <c r="B45" s="37" t="s">
        <v>69</v>
      </c>
      <c r="C45" s="37"/>
      <c r="F45" s="37" t="s">
        <v>70</v>
      </c>
      <c r="G45" s="37"/>
    </row>
    <row r="46" spans="2:11" ht="15" thickBot="1" x14ac:dyDescent="0.35">
      <c r="F46" s="47"/>
      <c r="G46" s="47"/>
    </row>
    <row r="47" spans="2:11" x14ac:dyDescent="0.3">
      <c r="B47" t="s">
        <v>71</v>
      </c>
      <c r="C47" s="2" t="s">
        <v>72</v>
      </c>
      <c r="F47" s="48" t="str">
        <f xml:space="preserve"> $B$39</f>
        <v>Total Gross Income:</v>
      </c>
      <c r="G47" s="71">
        <f xml:space="preserve"> $C$39</f>
        <v>99000</v>
      </c>
      <c r="H47" s="66" t="str">
        <f ca="1">_xlfn.LET(
    _xlpm.FormulaText, _xlfn.FORMULATEXT(G47),
    HYPERLINK(
        "#" &amp; SUBSTITUTE(_xlpm.FormulaText, "=", ""),
        _xlpm.FormulaText
    )
)</f>
        <v>= $C$39</v>
      </c>
      <c r="K47" s="2"/>
    </row>
    <row r="48" spans="2:11" x14ac:dyDescent="0.3">
      <c r="B48" t="str">
        <f>$J$75</f>
        <v>Effective Federal Income Tax</v>
      </c>
      <c r="C48" s="2">
        <f xml:space="preserve"> $K$80</f>
        <v>10589</v>
      </c>
      <c r="D48" s="66" t="str">
        <f ca="1">_xlfn.LET(
    _xlpm.FormulaText, _xlfn.FORMULATEXT(C48),
    HYPERLINK(
        "#" &amp; SUBSTITUTE(_xlpm.FormulaText, "=", ""),
        _xlpm.FormulaText
    )
)</f>
        <v>= $K$80</v>
      </c>
      <c r="F48" s="49" t="str">
        <f xml:space="preserve"> TotalTaxEstimateTable[[#Totals],[Tax Type]]</f>
        <v>Total Tax Estimate:</v>
      </c>
      <c r="G48" s="72">
        <f>TotalTaxEstimateTable[[#Totals],[Amount]]</f>
        <v>17759</v>
      </c>
      <c r="H48" s="66"/>
      <c r="K48" s="2"/>
    </row>
    <row r="49" spans="2:12" x14ac:dyDescent="0.3">
      <c r="B49" t="str">
        <f>B107</f>
        <v>Long Term Capital Gain Tax (LTCG)</v>
      </c>
      <c r="C49" s="2">
        <f xml:space="preserve"> $C$127</f>
        <v>1050</v>
      </c>
      <c r="D49" s="66" t="str">
        <f ca="1">_xlfn.LET(
    _xlpm.FormulaText, _xlfn.FORMULATEXT(C49),
    HYPERLINK(
        "#" &amp; SUBSTITUTE(_xlpm.FormulaText, "=", ""),
        _xlpm.FormulaText
    )
)</f>
        <v>= $C$127</v>
      </c>
      <c r="F49" s="70" t="s">
        <v>73</v>
      </c>
      <c r="G49" s="73">
        <f xml:space="preserve"> G48 / G47</f>
        <v>0.1793838383838384</v>
      </c>
      <c r="H49" s="66" t="str">
        <f ca="1">_xlfn.LET(
    _xlpm.FormulaText, _xlfn.FORMULATEXT(G49),
    _xlpm.FormulaText
)</f>
        <v>= G48 / G47</v>
      </c>
      <c r="K49" s="2"/>
    </row>
    <row r="50" spans="2:12" ht="16.2" thickBot="1" x14ac:dyDescent="0.35">
      <c r="B50" t="str">
        <f>$J$59</f>
        <v>Social Security Tax</v>
      </c>
      <c r="C50" s="2">
        <f xml:space="preserve"> $K$66</f>
        <v>4960</v>
      </c>
      <c r="D50" s="66" t="str">
        <f ca="1">_xlfn.LET(
    _xlpm.FormulaText, _xlfn.FORMULATEXT(C50),
    HYPERLINK(
        "#" &amp; SUBSTITUTE(_xlpm.FormulaText, "=", ""),
        _xlpm.FormulaText
    )
)</f>
        <v>= $K$66</v>
      </c>
      <c r="F50" s="50" t="s">
        <v>74</v>
      </c>
      <c r="G50" s="74">
        <f xml:space="preserve"> G47 - G48</f>
        <v>81241</v>
      </c>
      <c r="H50" s="66" t="str">
        <f ca="1">_xlfn.LET(
    _xlpm.FormulaText, _xlfn.FORMULATEXT(G50),
    _xlpm.FormulaText
)</f>
        <v>= G47 - G48</v>
      </c>
      <c r="J50" s="35"/>
      <c r="K50" s="36"/>
    </row>
    <row r="51" spans="2:12" ht="15.6" x14ac:dyDescent="0.3">
      <c r="B51" t="str">
        <f>$B$59</f>
        <v>Medicare Wages Tax</v>
      </c>
      <c r="C51" s="2">
        <f xml:space="preserve"> $C$69</f>
        <v>1160</v>
      </c>
      <c r="D51" s="66" t="str">
        <f ca="1">_xlfn.LET(
    _xlpm.FormulaText, _xlfn.FORMULATEXT(C51),
    HYPERLINK(
        "#" &amp; SUBSTITUTE(_xlpm.FormulaText, "=", ""),
        _xlpm.FormulaText
    )
)</f>
        <v>= $C$69</v>
      </c>
      <c r="H51" s="66"/>
      <c r="J51" s="35"/>
      <c r="K51" s="36"/>
    </row>
    <row r="52" spans="2:12" ht="15.6" x14ac:dyDescent="0.3">
      <c r="B52" t="str">
        <f>$F$59</f>
        <v>Medicare Net Investment Income Tax (NIIT)</v>
      </c>
      <c r="C52" s="2">
        <f xml:space="preserve"> $G$70</f>
        <v>0</v>
      </c>
      <c r="D52" s="66" t="str">
        <f ca="1">_xlfn.LET(
    _xlpm.FormulaText, _xlfn.FORMULATEXT(C52),
    HYPERLINK(
        "#" &amp; SUBSTITUTE(_xlpm.FormulaText, "=", ""),
        _xlpm.FormulaText
    )
)</f>
        <v>= $G$70</v>
      </c>
      <c r="H52" s="66"/>
      <c r="J52" s="35"/>
      <c r="K52" s="36"/>
    </row>
    <row r="53" spans="2:12" ht="15.6" x14ac:dyDescent="0.3">
      <c r="B53" s="31" t="s">
        <v>75</v>
      </c>
      <c r="C53" s="32">
        <f xml:space="preserve"> SUBTOTAL(109,TotalTaxEstimateTable[Amount])</f>
        <v>17759</v>
      </c>
    </row>
    <row r="57" spans="2:12" ht="18" thickBot="1" x14ac:dyDescent="0.4">
      <c r="B57" s="15" t="s">
        <v>76</v>
      </c>
      <c r="C57" s="15"/>
      <c r="D57" s="15"/>
      <c r="E57" s="15"/>
      <c r="F57" s="15"/>
      <c r="G57" s="15"/>
      <c r="H57" s="15"/>
      <c r="I57" s="15"/>
      <c r="J57" s="15"/>
      <c r="K57" s="15"/>
    </row>
    <row r="58" spans="2:12" ht="15" thickTop="1" x14ac:dyDescent="0.3"/>
    <row r="59" spans="2:12" ht="15" thickBot="1" x14ac:dyDescent="0.35">
      <c r="B59" s="37" t="s">
        <v>77</v>
      </c>
      <c r="C59" s="37"/>
      <c r="F59" s="37" t="s">
        <v>78</v>
      </c>
      <c r="G59" s="37"/>
      <c r="J59" s="37" t="s">
        <v>79</v>
      </c>
      <c r="K59" s="37"/>
    </row>
    <row r="61" spans="2:12" x14ac:dyDescent="0.3">
      <c r="B61" s="52" t="s">
        <v>80</v>
      </c>
      <c r="C61" s="53">
        <f xml:space="preserve"> $C$18</f>
        <v>80000</v>
      </c>
      <c r="D61" s="66" t="str">
        <f ca="1">_xlfn.LET(
    _xlpm.FormulaText, _xlfn.FORMULATEXT(C61),
    HYPERLINK(
        "#" &amp; SUBSTITUTE(_xlpm.FormulaText, "=", ""),
        _xlpm.FormulaText
    )
)</f>
        <v>= $C$18</v>
      </c>
      <c r="F61" t="s">
        <v>81</v>
      </c>
      <c r="G61" s="2">
        <f>$C$27 + $G$27 + $K$27</f>
        <v>19000</v>
      </c>
      <c r="H61" s="43" t="str">
        <f xml:space="preserve"> IF(
    AND(0 &lt;= G61, G61 &lt;= MaxIncomeCell),
    InRangeLabelCell,
    OutOfRangeLabelCell
)</f>
        <v>✔</v>
      </c>
      <c r="J61" t="s">
        <v>82</v>
      </c>
      <c r="K61" s="2">
        <f>_xlfn.XLOOKUP(TRUE, SocialSecurityTaxRateTable[IsSelected], SocialSecurityTaxRateTable[Max Taxable Income], NotFoundLabelCell)</f>
        <v>176100</v>
      </c>
      <c r="L61" s="68" t="str" cm="1">
        <f t="array" aca="1" ref="L61" ca="1">_xlfn.LET(
    _xlpm.LookupTableName, "SocialSecurityTaxRateTable",
    _xlpm.ValueColumnName, "Max Taxable Income",
    _xlpm.TableValueColumn, INDIRECT(_xlpm.LookupTableName &amp; "[" &amp; _xlpm.ValueColumnName &amp; "]"),
    _xlpm.TableRowNum, _xlfn.XMATCH(TRUE, INDIRECT(_xlpm.LookupTableName &amp; "[IsSelected]")),
    _xlpm.LinkTarget, IF(ISNA(_xlpm.TableRowNum),
        "#" &amp; CELL("address", L61),
        "#" &amp; CELL("address", INDEX(_xlpm.TableValueColumn, _xlpm.TableRowNum))
    ),
    _xlpm.LinkLabel, IF(ISNA(_xlpm.TableRowNum),
        NotFoundLabelCell,
        "in " &amp; _xlpm.LookupTableName
    ),
    HYPERLINK(_xlpm.LinkTarget, _xlpm.LinkLabel)
)</f>
        <v>in SocialSecurityTaxRateTable</v>
      </c>
    </row>
    <row r="62" spans="2:12" x14ac:dyDescent="0.3">
      <c r="C62" s="2"/>
      <c r="F62" t="s">
        <v>83</v>
      </c>
      <c r="G62" s="2">
        <f xml:space="preserve"> $C$39</f>
        <v>99000</v>
      </c>
      <c r="H62" s="66" t="str">
        <f ca="1">_xlfn.LET(
    _xlpm.FormulaText, _xlfn.FORMULATEXT(G62),
    HYPERLINK(
        "#" &amp; SUBSTITUTE(_xlpm.FormulaText, "=", ""),
        _xlpm.FormulaText
    )
)</f>
        <v>= $C$39</v>
      </c>
    </row>
    <row r="63" spans="2:12" x14ac:dyDescent="0.3">
      <c r="B63" t="s">
        <v>84</v>
      </c>
      <c r="C63" s="6">
        <f>_xlfn.XLOOKUP(TRUE, MedicareWageTaxRateTable[IsSelected], MedicareWageTaxRateTable[Medicare Rate], NotFoundLabelCell)</f>
        <v>1.4500000000000001E-2</v>
      </c>
      <c r="D63" s="68" t="str" cm="1">
        <f t="array" aca="1" ref="D63" ca="1">_xlfn.LET(
    _xlpm.LookupTableName, "MedicareWageTaxRateTable",
    _xlpm.ValueColumnName, "Medicare Rate",
    _xlpm.TableValueColumn, INDIRECT(_xlpm.LookupTableName &amp; "[" &amp; _xlpm.ValueColumnName &amp; "]"),
    _xlpm.TableRowNum, _xlfn.XMATCH(TRUE, INDIRECT(_xlpm.LookupTableName &amp; "[IsSelected]")),
    _xlpm.LinkTarget, IF(ISNA(_xlpm.TableRowNum),
        "#" &amp; CELL("address", D63),
        "#" &amp; CELL("address", INDEX(_xlpm.TableValueColumn, _xlpm.TableRowNum))
    ),
    _xlpm.LinkLabel, IF(ISNA(_xlpm.TableRowNum),
        NotFoundLabelCell,
        "in " &amp; _xlpm.LookupTableName
    ),
    HYPERLINK(_xlpm.LinkTarget, _xlpm.LinkLabel)
)</f>
        <v>in MedicareWageTaxRateTable</v>
      </c>
      <c r="J63" t="s">
        <v>85</v>
      </c>
      <c r="K63" s="6">
        <f>_xlfn.XLOOKUP(TRUE, SocialSecurityTaxRateTable[IsSelected], SocialSecurityTaxRateTable[SocialSecurity Rate], NotFoundLabelCell)</f>
        <v>6.2E-2</v>
      </c>
      <c r="L63" s="68" t="str" cm="1">
        <f t="array" aca="1" ref="L63" ca="1">_xlfn.LET(
    _xlpm.LookupTableName, "SocialSecurityTaxRateTable",
    _xlpm.ValueColumnName, "SocialSecurity Rate",
    _xlpm.TableValueColumn, INDIRECT(_xlpm.LookupTableName &amp; "[" &amp; _xlpm.ValueColumnName &amp; "]"),
    _xlpm.TableRowNum, _xlfn.XMATCH(TRUE, INDIRECT(_xlpm.LookupTableName &amp; "[IsSelected]")),
    _xlpm.LinkTarget, IF(ISNA(_xlpm.TableRowNum),
        "#" &amp; CELL("address", L63),
        "#" &amp; CELL("address", INDEX(_xlpm.TableValueColumn, _xlpm.TableRowNum))
    ),
    _xlpm.LinkLabel, IF(ISNA(_xlpm.TableRowNum),
        NotFoundLabelCell,
        "in " &amp; _xlpm.LookupTableName
    ),
    HYPERLINK(_xlpm.LinkTarget, _xlpm.LinkLabel)
)</f>
        <v>in SocialSecurityTaxRateTable</v>
      </c>
    </row>
    <row r="64" spans="2:12" x14ac:dyDescent="0.3">
      <c r="B64" t="s">
        <v>86</v>
      </c>
      <c r="C64" s="2">
        <f>_xlfn.XLOOKUP(TRUE, MedicareWageTaxRateTable[IsSelected], MedicareWageTaxRateTable[RangeStart], NotFoundLabelCell)</f>
        <v>0</v>
      </c>
      <c r="D64" s="68" t="str" cm="1">
        <f t="array" aca="1" ref="D64" ca="1">_xlfn.LET(
    _xlpm.LookupTableName, "MedicareWageTaxRateTable",
    _xlpm.ValueColumnName, "RangeStart",
    _xlpm.TableValueColumn, INDIRECT(_xlpm.LookupTableName &amp; "[" &amp; _xlpm.ValueColumnName &amp; "]"),
    _xlpm.TableRowNum, _xlfn.XMATCH(TRUE, INDIRECT(_xlpm.LookupTableName &amp; "[IsSelected]")),
    _xlpm.LinkTarget, IF(ISNA(_xlpm.TableRowNum),
        "#" &amp; CELL("address", D64),
        "#" &amp; CELL("address", INDEX(_xlpm.TableValueColumn, _xlpm.TableRowNum))
    ),
    _xlpm.LinkLabel, IF(ISNA(_xlpm.TableRowNum),
        NotFoundLabelCell,
        "in " &amp; _xlpm.LookupTableName
    ),
    HYPERLINK(_xlpm.LinkTarget, _xlpm.LinkLabel)
)</f>
        <v>in MedicareWageTaxRateTable</v>
      </c>
      <c r="F64" t="s">
        <v>87</v>
      </c>
      <c r="G64" s="2">
        <f>_xlfn.XLOOKUP(TRUE, MedicareNetInvestIncomeTaxTable[IsSelected], MedicareNetInvestIncomeTaxTable[Modified AGI Threshold], NotFoundLabelCell)</f>
        <v>200000</v>
      </c>
      <c r="H64" s="68" t="str" cm="1">
        <f t="array" aca="1" ref="H64" ca="1">_xlfn.LET(
    _xlpm.LookupTableName, "MedicareNetInvestIncomeTaxTable",
    _xlpm.ValueColumnName, "Modified AGI Threshold",
    _xlpm.TableValueColumn, INDIRECT(_xlpm.LookupTableName &amp; "[" &amp; _xlpm.ValueColumnName &amp; "]"),
    _xlpm.TableRowNum, _xlfn.XMATCH(TRUE, INDIRECT(_xlpm.LookupTableName &amp; "[IsSelected]")),
    _xlpm.LinkTarget, IF(ISNA(_xlpm.TableRowNum),
        "#" &amp; CELL("address", H64),
        "#" &amp; CELL("address", INDEX(_xlpm.TableValueColumn, _xlpm.TableRowNum))
    ),
    _xlpm.LinkLabel, IF(ISNA(_xlpm.TableRowNum),
        NotFoundLabelCell,
        "in " &amp; _xlpm.LookupTableName
    ),
    HYPERLINK(_xlpm.LinkTarget, _xlpm.LinkLabel)
)</f>
        <v>in MedicareNetInvestIncomeTaxTable</v>
      </c>
      <c r="J64" t="s">
        <v>88</v>
      </c>
      <c r="K64" s="2">
        <f xml:space="preserve"> MIN( $C$18, K61 )</f>
        <v>80000</v>
      </c>
      <c r="L64" s="66" t="str">
        <f ca="1">_xlfn.LET(
    _xlpm.FormulaText, _xlfn.FORMULATEXT(K64),
    _xlpm.FormulaText
)</f>
        <v>= MIN( $C$18, K61 )</v>
      </c>
    </row>
    <row r="65" spans="2:12" x14ac:dyDescent="0.3">
      <c r="F65" t="s">
        <v>89</v>
      </c>
      <c r="G65" s="21" t="b">
        <f xml:space="preserve"> G62 &gt;= G64</f>
        <v>0</v>
      </c>
      <c r="H65" s="66" t="str">
        <f ca="1">_xlfn.LET(
    _xlpm.FormulaText, _xlfn.FORMULATEXT(G65),
    _xlpm.FormulaText
)</f>
        <v>= G62 &gt;= G64</v>
      </c>
    </row>
    <row r="66" spans="2:12" x14ac:dyDescent="0.3">
      <c r="B66" t="s">
        <v>90</v>
      </c>
      <c r="C66" s="2">
        <f>IF(
    C61 = 0,
    0,
    _xlfn.XLOOKUP(TRUE, MedicareWageTaxRateTable[IsSelected], MedicareWageTaxRateTable[SumLowerRanges], NotFoundLabelCell)
)</f>
        <v>0</v>
      </c>
      <c r="D66" s="68" t="str" cm="1">
        <f t="array" aca="1" ref="D66" ca="1">_xlfn.LET(
    _xlpm.LookupTableName, "MedicareWageTaxRateTable",
    _xlpm.ValueColumnName, "SumLowerRanges",
    _xlpm.TableValueColumn, INDIRECT(_xlpm.LookupTableName &amp; "[" &amp; _xlpm.ValueColumnName &amp; "]"),
    _xlpm.TableRowNum, _xlfn.XMATCH(TRUE, INDIRECT(_xlpm.LookupTableName &amp; "[IsSelected]")),
    _xlpm.LinkTarget, IF(ISNA(_xlpm.TableRowNum),
        "#" &amp; CELL("address", D66),
        "#" &amp; CELL("address", INDEX(_xlpm.TableValueColumn, _xlpm.TableRowNum))
    ),
    _xlpm.LinkLabel, IF(ISNA(_xlpm.TableRowNum),
        NotFoundLabelCell,
        "in " &amp; _xlpm.LookupTableName
    ),
    HYPERLINK(_xlpm.LinkTarget, _xlpm.LinkLabel)
)</f>
        <v>in MedicareWageTaxRateTable</v>
      </c>
      <c r="J66" s="17" t="s">
        <v>164</v>
      </c>
      <c r="K66" s="18">
        <f xml:space="preserve"> K64 * K63</f>
        <v>4960</v>
      </c>
      <c r="L66" s="66" t="str">
        <f ca="1">_xlfn.LET(
    _xlpm.FormulaText, _xlfn.FORMULATEXT(K66),
    _xlpm.FormulaText
)</f>
        <v>= K64 * K63</v>
      </c>
    </row>
    <row r="67" spans="2:12" x14ac:dyDescent="0.3">
      <c r="B67" t="s">
        <v>92</v>
      </c>
      <c r="C67" s="2">
        <f xml:space="preserve"> IF(
    C61 = 0,
    0,
    (C61 - C64) * C63
)</f>
        <v>1160</v>
      </c>
      <c r="F67" t="s">
        <v>93</v>
      </c>
      <c r="G67" s="6">
        <f>_xlfn.XLOOKUP(TRUE, MedicareNetInvestIncomeTaxTable[IsSelected], MedicareNetInvestIncomeTaxTable[NetInvestInc Rate], NotFoundLabelCell)</f>
        <v>3.7999999999999999E-2</v>
      </c>
      <c r="H67" s="68" t="str" cm="1">
        <f t="array" aca="1" ref="H67" ca="1">_xlfn.LET(
    _xlpm.LookupTableName, "MedicareNetInvestIncomeTaxTable",
    _xlpm.ValueColumnName, "NetInvestInc Rate",
    _xlpm.TableValueColumn, INDIRECT(_xlpm.LookupTableName &amp; "[" &amp; _xlpm.ValueColumnName &amp; "]"),
    _xlpm.TableRowNum, _xlfn.XMATCH(TRUE, INDIRECT(_xlpm.LookupTableName &amp; "[IsSelected]")),
    _xlpm.LinkTarget, IF(ISNA(_xlpm.TableRowNum),
        "#" &amp; CELL("address", H67),
        "#" &amp; CELL("address", INDEX(_xlpm.TableValueColumn, _xlpm.TableRowNum))
    ),
    _xlpm.LinkLabel, IF(ISNA(_xlpm.TableRowNum),
        NotFoundLabelCell,
        "in " &amp; _xlpm.LookupTableName
    ),
    HYPERLINK(_xlpm.LinkTarget, _xlpm.LinkLabel)
)</f>
        <v>in MedicareNetInvestIncomeTaxTable</v>
      </c>
    </row>
    <row r="68" spans="2:12" x14ac:dyDescent="0.3">
      <c r="F68" t="s">
        <v>94</v>
      </c>
      <c r="G68" s="2">
        <f xml:space="preserve"> IF( G65,
    MIN( G61, MAX(G62-G64, 0)),
    0
)</f>
        <v>0</v>
      </c>
    </row>
    <row r="69" spans="2:12" x14ac:dyDescent="0.3">
      <c r="B69" s="17" t="s">
        <v>91</v>
      </c>
      <c r="C69" s="18">
        <f xml:space="preserve"> C66 + C67</f>
        <v>1160</v>
      </c>
      <c r="D69" s="66" t="str">
        <f ca="1">_xlfn.LET(
    _xlpm.FormulaText, _xlfn.FORMULATEXT(C69),
    _xlpm.FormulaText
)</f>
        <v>= C66 + C67</v>
      </c>
    </row>
    <row r="70" spans="2:12" x14ac:dyDescent="0.3">
      <c r="F70" s="17" t="s">
        <v>95</v>
      </c>
      <c r="G70" s="18">
        <f xml:space="preserve"> IF(
    G65,
    G68 * G67,
    0
)</f>
        <v>0</v>
      </c>
    </row>
    <row r="73" spans="2:12" ht="18" thickBot="1" x14ac:dyDescent="0.4">
      <c r="B73" s="15" t="s">
        <v>96</v>
      </c>
      <c r="C73" s="15"/>
      <c r="D73" s="15"/>
      <c r="E73" s="15"/>
      <c r="F73" s="15"/>
      <c r="G73" s="15"/>
      <c r="H73" s="15"/>
      <c r="I73" s="15"/>
      <c r="J73" s="15"/>
      <c r="K73" s="15"/>
    </row>
    <row r="74" spans="2:12" ht="15" thickTop="1" x14ac:dyDescent="0.3"/>
    <row r="75" spans="2:12" ht="15" thickBot="1" x14ac:dyDescent="0.35">
      <c r="B75" s="37" t="s">
        <v>97</v>
      </c>
      <c r="C75" s="37"/>
      <c r="F75" s="37" t="s">
        <v>98</v>
      </c>
      <c r="G75" s="95" t="s">
        <v>165</v>
      </c>
      <c r="J75" s="37" t="s">
        <v>99</v>
      </c>
      <c r="K75" s="37"/>
    </row>
    <row r="76" spans="2:12" x14ac:dyDescent="0.3">
      <c r="F76" s="94"/>
    </row>
    <row r="77" spans="2:12" x14ac:dyDescent="0.3">
      <c r="B77" t="str">
        <f>$B$18</f>
        <v>Total Gross Wages:</v>
      </c>
      <c r="C77" s="2">
        <f xml:space="preserve"> $C$18</f>
        <v>80000</v>
      </c>
      <c r="D77" s="66" t="str">
        <f ca="1">_xlfn.LET(
    _xlpm.FormulaText, _xlfn.FORMULATEXT(C77),
    HYPERLINK(
        "#" &amp; SUBSTITUTE(_xlpm.FormulaText, "=", ""),
        _xlpm.FormulaText
    )
)</f>
        <v>= $C$18</v>
      </c>
      <c r="F77" t="str">
        <f>$B$18</f>
        <v>Total Gross Wages:</v>
      </c>
      <c r="G77" s="2">
        <f xml:space="preserve"> $C$18</f>
        <v>80000</v>
      </c>
      <c r="H77" s="66" t="str">
        <f ca="1">_xlfn.LET(
    _xlpm.FormulaText, _xlfn.FORMULATEXT(G77),
    HYPERLINK(
        "#" &amp; SUBSTITUTE(_xlpm.FormulaText, "=", ""),
        _xlpm.FormulaText
    )
)</f>
        <v>= $C$18</v>
      </c>
      <c r="J77" t="str">
        <f>B75</f>
        <v>Regular Income Tax</v>
      </c>
      <c r="K77" s="2">
        <f xml:space="preserve"> C94</f>
        <v>10589</v>
      </c>
      <c r="L77" s="66" t="str">
        <f t="shared" ref="L77:L78" ca="1" si="2">_xlfn.LET(
    _xlpm.FormulaText, _xlfn.FORMULATEXT(K77),
    HYPERLINK(
        "#" &amp; SUBSTITUTE(_xlpm.FormulaText, "=", ""),
        _xlpm.FormulaText
    )
)</f>
        <v>= C94</v>
      </c>
    </row>
    <row r="78" spans="2:12" x14ac:dyDescent="0.3">
      <c r="B78" t="str">
        <f>$B$27</f>
        <v>Total Rental &amp; similar Income:</v>
      </c>
      <c r="C78" s="2">
        <f xml:space="preserve"> $C$27</f>
        <v>10000</v>
      </c>
      <c r="D78" s="66" t="str">
        <f ca="1">_xlfn.LET(
    _xlpm.FormulaText, _xlfn.FORMULATEXT(C78),
    HYPERLINK(
        "#" &amp; SUBSTITUTE(_xlpm.FormulaText, "=", ""),
        _xlpm.FormulaText
    )
)</f>
        <v>= $C$27</v>
      </c>
      <c r="F78" t="str">
        <f>$B$27</f>
        <v>Total Rental &amp; similar Income:</v>
      </c>
      <c r="G78" s="2">
        <f xml:space="preserve"> $C$27</f>
        <v>10000</v>
      </c>
      <c r="H78" s="66" t="str">
        <f t="shared" ref="H78:H79" ca="1" si="3">_xlfn.LET(
    _xlpm.FormulaText, _xlfn.FORMULATEXT(G78),
    HYPERLINK(
        "#" &amp; SUBSTITUTE(_xlpm.FormulaText, "=", ""),
        _xlpm.FormulaText
    )
)</f>
        <v>= $C$27</v>
      </c>
      <c r="J78" t="str">
        <f>F75</f>
        <v>Alternative Minimum Tax (AMT)</v>
      </c>
      <c r="K78" s="2">
        <f xml:space="preserve"> G103</f>
        <v>0</v>
      </c>
      <c r="L78" s="66" t="str">
        <f t="shared" ca="1" si="2"/>
        <v>= G103</v>
      </c>
    </row>
    <row r="79" spans="2:12" x14ac:dyDescent="0.3">
      <c r="B79" s="33" t="str">
        <f>$J$27</f>
        <v>Total Short-term Capital Gains:</v>
      </c>
      <c r="C79" s="34">
        <f xml:space="preserve"> $K$27</f>
        <v>2000</v>
      </c>
      <c r="D79" s="66" t="str">
        <f ca="1">_xlfn.LET(
    _xlpm.FormulaText, _xlfn.FORMULATEXT(C79),
    HYPERLINK(
        "#" &amp; SUBSTITUTE(_xlpm.FormulaText, "=", ""),
        _xlpm.FormulaText
    )
)</f>
        <v>= $K$27</v>
      </c>
      <c r="F79" s="33" t="str">
        <f>$J$27</f>
        <v>Total Short-term Capital Gains:</v>
      </c>
      <c r="G79" s="34">
        <f xml:space="preserve"> $K$27</f>
        <v>2000</v>
      </c>
      <c r="H79" s="66" t="str">
        <f t="shared" ca="1" si="3"/>
        <v>= $K$27</v>
      </c>
    </row>
    <row r="80" spans="2:12" x14ac:dyDescent="0.3">
      <c r="B80" s="54" t="s">
        <v>100</v>
      </c>
      <c r="C80" s="55">
        <f xml:space="preserve"> SUM(C77:C79)</f>
        <v>92000</v>
      </c>
      <c r="F80" s="54" t="s">
        <v>100</v>
      </c>
      <c r="G80" s="55">
        <f>SUM(G77:G79)</f>
        <v>92000</v>
      </c>
      <c r="J80" s="17" t="str">
        <f>J75</f>
        <v>Effective Federal Income Tax</v>
      </c>
      <c r="K80" s="18">
        <f xml:space="preserve"> MAX( K77, K78 )</f>
        <v>10589</v>
      </c>
      <c r="L80" s="66" t="str">
        <f ca="1">_xlfn.LET(
    _xlpm.FormulaText, _xlfn.FORMULATEXT(K80),
    _xlpm.FormulaText
)</f>
        <v>= MAX( K77, K78 )</v>
      </c>
    </row>
    <row r="81" spans="2:10" x14ac:dyDescent="0.3">
      <c r="J81" s="51" t="s">
        <v>101</v>
      </c>
    </row>
    <row r="82" spans="2:10" x14ac:dyDescent="0.3">
      <c r="B82" t="str">
        <f>$F$18</f>
        <v>Total AGI above-the-line Deductions:</v>
      </c>
      <c r="C82" s="2">
        <f xml:space="preserve"> - $G$18</f>
        <v>-5000</v>
      </c>
      <c r="D82" s="66" t="str">
        <f ca="1">_xlfn.LET(
    _xlpm.FormulaText, _xlfn.FORMULATEXT(C82),
    HYPERLINK(
        "#" &amp; SUBSTITUTE(SUBSTITUTE(_xlpm.FormulaText, "-", ""), "=", ""),
        _xlpm.FormulaText
    )
)</f>
        <v>= - $G$18</v>
      </c>
      <c r="F82" s="33" t="str">
        <f>$F$18</f>
        <v>Total AGI above-the-line Deductions:</v>
      </c>
      <c r="G82" s="34">
        <f xml:space="preserve"> - $G$18</f>
        <v>-5000</v>
      </c>
      <c r="H82" s="66" t="str">
        <f ca="1">_xlfn.LET(
    _xlpm.FormulaText, _xlfn.FORMULATEXT(G82),
    HYPERLINK(
        "#" &amp; SUBSTITUTE(SUBSTITUTE(_xlpm.FormulaText, "-", ""), "=", ""),
        _xlpm.FormulaText
    )
)</f>
        <v>= - $G$18</v>
      </c>
    </row>
    <row r="83" spans="2:10" x14ac:dyDescent="0.3">
      <c r="B83" s="33" t="str">
        <f xml:space="preserve"> $J$12</f>
        <v>Regular Income Tax Deductions</v>
      </c>
      <c r="C83" s="34">
        <f xml:space="preserve"> - $K$18</f>
        <v>-15750</v>
      </c>
      <c r="D83" s="66" t="str">
        <f ca="1">_xlfn.LET(
    _xlpm.FormulaText, _xlfn.FORMULATEXT(C83),
    HYPERLINK(
        "#" &amp; SUBSTITUTE(SUBSTITUTE(_xlpm.FormulaText, "-", ""), "=", ""),
        _xlpm.FormulaText
    )
)</f>
        <v>= - $K$18</v>
      </c>
      <c r="F83" s="54" t="s">
        <v>102</v>
      </c>
      <c r="G83" s="55">
        <f xml:space="preserve"> SUM(G82:G82)</f>
        <v>-5000</v>
      </c>
    </row>
    <row r="84" spans="2:10" x14ac:dyDescent="0.3">
      <c r="B84" s="54" t="s">
        <v>102</v>
      </c>
      <c r="C84" s="55">
        <f xml:space="preserve"> SUM(C82:C83)</f>
        <v>-20750</v>
      </c>
    </row>
    <row r="85" spans="2:10" x14ac:dyDescent="0.3">
      <c r="B85" s="33"/>
      <c r="C85" s="33"/>
      <c r="F85" s="60" t="s">
        <v>103</v>
      </c>
      <c r="G85" s="61">
        <f xml:space="preserve"> MAX( G80 + G83, 0 )</f>
        <v>87000</v>
      </c>
    </row>
    <row r="86" spans="2:10" x14ac:dyDescent="0.3">
      <c r="B86" s="52" t="s">
        <v>104</v>
      </c>
      <c r="C86" s="53">
        <f xml:space="preserve"> MAX( C80 + C84, 0 )</f>
        <v>71250</v>
      </c>
    </row>
    <row r="87" spans="2:10" x14ac:dyDescent="0.3">
      <c r="F87" t="s">
        <v>105</v>
      </c>
      <c r="G87" s="1">
        <f>_xlfn.XLOOKUP(TRUE, AlternativeMimumumTaxThresholdsTable[IsSelected], AlternativeMimumumTaxThresholdsTable[AMT Exemption], NotFoundLabelCell)</f>
        <v>88100</v>
      </c>
      <c r="H87" s="68" t="str" cm="1">
        <f t="array" aca="1" ref="H87" ca="1">_xlfn.LET(
    _xlpm.LookupTableName, "AlternativeMimumumTaxThresholdsTable",
    _xlpm.ValueColumnName, "AMT Exemption",
    _xlpm.TableValueColumn, INDIRECT(_xlpm.LookupTableName &amp; "[" &amp; _xlpm.ValueColumnName &amp; "]"),
    _xlpm.TableRowNum, _xlfn.XMATCH(TRUE, INDIRECT(_xlpm.LookupTableName &amp; "[IsSelected]")),
    _xlpm.LinkTarget, IF(ISNA(_xlpm.TableRowNum),
        "#" &amp; CELL("address", H87),
        "#" &amp; CELL("address", INDEX(_xlpm.TableValueColumn, _xlpm.TableRowNum))
    ),
    _xlpm.LinkLabel, IF(ISNA(_xlpm.TableRowNum),
        NotFoundLabelCell,
        "in " &amp; _xlpm.LookupTableName
    ),
    HYPERLINK(_xlpm.LinkTarget, _xlpm.LinkLabel)
)</f>
        <v>in AlternativeMimumumTaxThresholdsTable</v>
      </c>
    </row>
    <row r="88" spans="2:10" x14ac:dyDescent="0.3">
      <c r="B88" t="s">
        <v>84</v>
      </c>
      <c r="C88" s="6">
        <f>_xlfn.XLOOKUP(TRUE, FederalIncomeTaxRateTable[IsSelected], FederalIncomeTaxRateTable[Federal Tax Rate], NotFoundLabelCell)</f>
        <v>0.22</v>
      </c>
      <c r="D88" s="68" t="str" cm="1">
        <f t="array" aca="1" ref="D88" ca="1">_xlfn.LET(
    _xlpm.LookupTableName, "FederalIncomeTaxRateTable",
    _xlpm.ValueColumnName, "Federal Tax Rate",
    _xlpm.TableValueColumn, INDIRECT(_xlpm.LookupTableName &amp; "[" &amp; _xlpm.ValueColumnName &amp; "]"),
    _xlpm.TableRowNum, _xlfn.XMATCH(TRUE, INDIRECT(_xlpm.LookupTableName &amp; "[IsSelected]")),
    _xlpm.LinkTarget, IF(ISNA(_xlpm.TableRowNum),
        "#" &amp; CELL("address", D88),
        "#" &amp; CELL("address", INDEX(_xlpm.TableValueColumn, _xlpm.TableRowNum))
    ),
    _xlpm.LinkLabel, IF(ISNA(_xlpm.TableRowNum),
        NotFoundLabelCell,
        "in " &amp; _xlpm.LookupTableName
    ),
    HYPERLINK(_xlpm.LinkTarget, _xlpm.LinkLabel)
)</f>
        <v>in FederalIncomeTaxRateTable</v>
      </c>
      <c r="F88" t="s">
        <v>106</v>
      </c>
      <c r="G88" s="1">
        <f>_xlfn.XLOOKUP(TRUE, AlternativeMimumumTaxThresholdsTable[IsSelected], AlternativeMimumumTaxThresholdsTable[Phaseout Threshold], NotFoundLabelCell)</f>
        <v>626350</v>
      </c>
      <c r="H88" s="68" t="str" cm="1">
        <f t="array" aca="1" ref="H88" ca="1">_xlfn.LET(
    _xlpm.LookupTableName, "AlternativeMimumumTaxThresholdsTable",
    _xlpm.ValueColumnName, "Phaseout Threshold",
    _xlpm.TableValueColumn, INDIRECT(_xlpm.LookupTableName &amp; "[" &amp; _xlpm.ValueColumnName &amp; "]"),
    _xlpm.TableRowNum, _xlfn.XMATCH(TRUE, INDIRECT(_xlpm.LookupTableName &amp; "[IsSelected]")),
    _xlpm.LinkTarget, IF(ISNA(_xlpm.TableRowNum),
        "#" &amp; CELL("address", H88),
        "#" &amp; CELL("address", INDEX(_xlpm.TableValueColumn, _xlpm.TableRowNum))
    ),
    _xlpm.LinkLabel, IF(ISNA(_xlpm.TableRowNum),
        NotFoundLabelCell,
        "in " &amp; _xlpm.LookupTableName
    ),
    HYPERLINK(_xlpm.LinkTarget, _xlpm.LinkLabel)
)</f>
        <v>in AlternativeMimumumTaxThresholdsTable</v>
      </c>
    </row>
    <row r="89" spans="2:10" x14ac:dyDescent="0.3">
      <c r="B89" t="s">
        <v>86</v>
      </c>
      <c r="C89" s="2">
        <f>_xlfn.XLOOKUP(TRUE, FederalIncomeTaxRateTable[IsSelected], FederalIncomeTaxRateTable[RangeStart], NotFoundLabelCell)</f>
        <v>48475</v>
      </c>
      <c r="D89" s="68" t="str" cm="1">
        <f t="array" aca="1" ref="D89" ca="1">_xlfn.LET(
    _xlpm.LookupTableName, "FederalIncomeTaxRateTable",
    _xlpm.ValueColumnName, "RangeStart",
    _xlpm.TableValueColumn, INDIRECT(_xlpm.LookupTableName &amp; "[" &amp; _xlpm.ValueColumnName &amp; "]"),
    _xlpm.TableRowNum, _xlfn.XMATCH(TRUE, INDIRECT(_xlpm.LookupTableName &amp; "[IsSelected]")),
    _xlpm.LinkTarget, IF(ISNA(_xlpm.TableRowNum),
        "#" &amp; CELL("address", D89),
        "#" &amp; CELL("address", INDEX(_xlpm.TableValueColumn, _xlpm.TableRowNum))
    ),
    _xlpm.LinkLabel, IF(ISNA(_xlpm.TableRowNum),
        NotFoundLabelCell,
        "in " &amp; _xlpm.LookupTableName
    ),
    HYPERLINK(_xlpm.LinkTarget, _xlpm.LinkLabel)
)</f>
        <v>in FederalIncomeTaxRateTable</v>
      </c>
      <c r="F89" t="s">
        <v>162</v>
      </c>
      <c r="G89" s="93">
        <f>_xlfn.XLOOKUP(TRUE, AlternativeMimumumTaxThresholdsTable[IsSelected], AlternativeMimumumTaxThresholdsTable[Phaseout Rate], NotFoundLabelCell)</f>
        <v>0.25</v>
      </c>
      <c r="H89" s="68" t="str" cm="1">
        <f t="array" aca="1" ref="H89" ca="1">_xlfn.LET(
    _xlpm.LookupTableName, "AlternativeMimumumTaxThresholdsTable",
    _xlpm.ValueColumnName, "Phaseout Rate",
    _xlpm.TableValueColumn, INDIRECT(_xlpm.LookupTableName &amp; "[" &amp; _xlpm.ValueColumnName &amp; "]"),
    _xlpm.TableRowNum, _xlfn.XMATCH(TRUE, INDIRECT(_xlpm.LookupTableName &amp; "[IsSelected]")),
    _xlpm.LinkTarget, IF(ISNA(_xlpm.TableRowNum),
        "#" &amp; CELL("address", H89),
        "#" &amp; CELL("address", INDEX(_xlpm.TableValueColumn, _xlpm.TableRowNum))
    ),
    _xlpm.LinkLabel, IF(ISNA(_xlpm.TableRowNum),
        NotFoundLabelCell,
        "in " &amp; _xlpm.LookupTableName
    ),
    HYPERLINK(_xlpm.LinkTarget, _xlpm.LinkLabel)
)</f>
        <v>in AlternativeMimumumTaxThresholdsTable</v>
      </c>
    </row>
    <row r="91" spans="2:10" x14ac:dyDescent="0.3">
      <c r="B91" t="s">
        <v>90</v>
      </c>
      <c r="C91" s="2">
        <f>IF(
    C86 = 0,
    0,
    _xlfn.XLOOKUP(TRUE, FederalIncomeTaxRateTable[IsSelected], FederalIncomeTaxRateTable[SumLowerRanges], NotFoundLabelCell)
)</f>
        <v>5578.5</v>
      </c>
      <c r="D91" s="68" t="str" cm="1">
        <f t="array" aca="1" ref="D91" ca="1">_xlfn.LET(
    _xlpm.LookupTableName, "FederalIncomeTaxRateTable",
    _xlpm.ValueColumnName, "SumLowerRanges",
    _xlpm.TableValueColumn, INDIRECT(_xlpm.LookupTableName &amp; "[" &amp; _xlpm.ValueColumnName &amp; "]"),
    _xlpm.TableRowNum, _xlfn.XMATCH(TRUE, INDIRECT(_xlpm.LookupTableName &amp; "[IsSelected]")),
    _xlpm.LinkTarget, IF(ISNA(_xlpm.TableRowNum),
        "#" &amp; CELL("address", D91),
        "#" &amp; CELL("address", INDEX(_xlpm.TableValueColumn, _xlpm.TableRowNum))
    ),
    _xlpm.LinkLabel, IF(ISNA(_xlpm.TableRowNum),
        NotFoundLabelCell,
        "in " &amp; _xlpm.LookupTableName
    ),
    HYPERLINK(_xlpm.LinkTarget, _xlpm.LinkLabel)
)</f>
        <v>in FederalIncomeTaxRateTable</v>
      </c>
      <c r="F91" t="s">
        <v>107</v>
      </c>
      <c r="G91" s="2">
        <f xml:space="preserve"> MAX( G85 - G88, 0)</f>
        <v>0</v>
      </c>
    </row>
    <row r="92" spans="2:10" x14ac:dyDescent="0.3">
      <c r="B92" t="s">
        <v>92</v>
      </c>
      <c r="C92" s="2">
        <f xml:space="preserve"> IF(
    C86 = 0,
    0,
    (C86 - C89) * C88
)</f>
        <v>5010.5</v>
      </c>
      <c r="F92" t="s">
        <v>108</v>
      </c>
      <c r="G92" s="2">
        <f>G91 * G89</f>
        <v>0</v>
      </c>
    </row>
    <row r="93" spans="2:10" ht="15" thickBot="1" x14ac:dyDescent="0.35">
      <c r="B93" s="10"/>
      <c r="C93" s="10"/>
      <c r="F93" s="62" t="s">
        <v>109</v>
      </c>
      <c r="G93" s="63">
        <f>MAX( G87 - G92, 0 )</f>
        <v>88100</v>
      </c>
    </row>
    <row r="94" spans="2:10" x14ac:dyDescent="0.3">
      <c r="B94" s="3" t="s">
        <v>111</v>
      </c>
      <c r="C94" s="18">
        <f>C91 + C92</f>
        <v>10589</v>
      </c>
      <c r="D94" s="66" t="str">
        <f ca="1">_xlfn.LET(
    _xlpm.FormulaText, _xlfn.FORMULATEXT(C94),
    _xlpm.FormulaText
)</f>
        <v>=C91 + C92</v>
      </c>
    </row>
    <row r="95" spans="2:10" x14ac:dyDescent="0.3">
      <c r="F95" s="60" t="s">
        <v>110</v>
      </c>
      <c r="G95" s="61">
        <f>MAX(G85-G93, 0)</f>
        <v>0</v>
      </c>
    </row>
    <row r="96" spans="2:10" x14ac:dyDescent="0.3">
      <c r="B96" s="56" t="s">
        <v>112</v>
      </c>
      <c r="C96" s="57">
        <f xml:space="preserve"> IFERROR( C94 / C80, 0)</f>
        <v>0.11509782608695653</v>
      </c>
      <c r="D96" s="66" t="str">
        <f ca="1">_xlfn.LET(
    _xlpm.FormulaText, _xlfn.FORMULATEXT(C96),
    _xlpm.FormulaText
)</f>
        <v>= IFERROR( C94 / C80, 0)</v>
      </c>
    </row>
    <row r="97" spans="2:8" x14ac:dyDescent="0.3">
      <c r="B97" s="56" t="s">
        <v>113</v>
      </c>
      <c r="C97" s="57">
        <f xml:space="preserve"> IFERROR( C94 / C86, 0)</f>
        <v>0.14861754385964912</v>
      </c>
      <c r="D97" s="66" t="str">
        <f ca="1">_xlfn.LET(
    _xlpm.FormulaText, _xlfn.FORMULATEXT(C97),
    _xlpm.FormulaText
)</f>
        <v>= IFERROR( C94 / C86, 0)</v>
      </c>
      <c r="F97" t="s">
        <v>84</v>
      </c>
      <c r="G97" s="6">
        <f>_xlfn.XLOOKUP(TRUE, AlternativeMinimumTaxRateTable[IsSelected], AlternativeMinimumTaxRateTable[AMT Rate], NotFoundLabelCell)</f>
        <v>0.26</v>
      </c>
      <c r="H97" s="68" t="str" cm="1">
        <f t="array" aca="1" ref="H97" ca="1">_xlfn.LET(
    _xlpm.LookupTableName, "AlternativeMinimumTaxRateTable",
    _xlpm.ValueColumnName, "AMT Rate",
    _xlpm.TableValueColumn, INDIRECT(_xlpm.LookupTableName &amp; "[" &amp; _xlpm.ValueColumnName &amp; "]"),
    _xlpm.TableRowNum, _xlfn.XMATCH(TRUE, INDIRECT(_xlpm.LookupTableName &amp; "[IsSelected]")),
    _xlpm.LinkTarget, IF(ISNA(_xlpm.TableRowNum),
        "#" &amp; CELL("address", H97),
        "#" &amp; CELL("address", INDEX(_xlpm.TableValueColumn, _xlpm.TableRowNum))
    ),
    _xlpm.LinkLabel, IF(ISNA(_xlpm.TableRowNum),
        NotFoundLabelCell,
        "in " &amp; _xlpm.LookupTableName
    ),
    HYPERLINK(_xlpm.LinkTarget, _xlpm.LinkLabel)
)</f>
        <v>in AlternativeMinimumTaxRateTable</v>
      </c>
    </row>
    <row r="98" spans="2:8" x14ac:dyDescent="0.3">
      <c r="F98" t="s">
        <v>86</v>
      </c>
      <c r="G98" s="2">
        <f>_xlfn.XLOOKUP(TRUE, AlternativeMinimumTaxRateTable[IsSelected], AlternativeMinimumTaxRateTable[RangeStart], NotFoundLabelCell)</f>
        <v>0</v>
      </c>
      <c r="H98" s="68" t="str" cm="1">
        <f t="array" aca="1" ref="H98" ca="1">_xlfn.LET(
    _xlpm.LookupTableName, "AlternativeMinimumTaxRateTable",
    _xlpm.ValueColumnName, "RangeStart",
    _xlpm.TableValueColumn, INDIRECT(_xlpm.LookupTableName &amp; "[" &amp; _xlpm.ValueColumnName &amp; "]"),
    _xlpm.TableRowNum, _xlfn.XMATCH(TRUE, INDIRECT(_xlpm.LookupTableName &amp; "[IsSelected]")),
    _xlpm.LinkTarget, IF(ISNA(_xlpm.TableRowNum),
        "#" &amp; CELL("address", H98),
        "#" &amp; CELL("address", INDEX(_xlpm.TableValueColumn, _xlpm.TableRowNum))
    ),
    _xlpm.LinkLabel, IF(ISNA(_xlpm.TableRowNum),
        NotFoundLabelCell,
        "in " &amp; _xlpm.LookupTableName
    ),
    HYPERLINK(_xlpm.LinkTarget, _xlpm.LinkLabel)
)</f>
        <v>in AlternativeMinimumTaxRateTable</v>
      </c>
    </row>
    <row r="100" spans="2:8" x14ac:dyDescent="0.3">
      <c r="F100" t="s">
        <v>90</v>
      </c>
      <c r="G100" s="2">
        <f>IF(
    G95 = 0,
    0,
    _xlfn.XLOOKUP(TRUE, AlternativeMinimumTaxRateTable[IsSelected], AlternativeMinimumTaxRateTable[SumLowerRanges], NotFoundLabelCell)
)</f>
        <v>0</v>
      </c>
      <c r="H100" s="68" t="str" cm="1">
        <f t="array" aca="1" ref="H100" ca="1">_xlfn.LET(
    _xlpm.LookupTableName, "AlternativeMinimumTaxRateTable",
    _xlpm.ValueColumnName, "SumLowerRanges",
    _xlpm.TableValueColumn, INDIRECT(_xlpm.LookupTableName &amp; "[" &amp; _xlpm.ValueColumnName &amp; "]"),
    _xlpm.TableRowNum, _xlfn.XMATCH(TRUE, INDIRECT(_xlpm.LookupTableName &amp; "[IsSelected]")),
    _xlpm.LinkTarget, IF(ISNA(_xlpm.TableRowNum),
        "#" &amp; CELL("address", H100),
        "#" &amp; CELL("address", INDEX(_xlpm.TableValueColumn, _xlpm.TableRowNum))
    ),
    _xlpm.LinkLabel, IF(ISNA(_xlpm.TableRowNum),
        NotFoundLabelCell,
        "in " &amp; _xlpm.LookupTableName
    ),
    HYPERLINK(_xlpm.LinkTarget, _xlpm.LinkLabel)
)</f>
        <v>in AlternativeMinimumTaxRateTable</v>
      </c>
    </row>
    <row r="101" spans="2:8" x14ac:dyDescent="0.3">
      <c r="F101" t="s">
        <v>92</v>
      </c>
      <c r="G101" s="2">
        <f xml:space="preserve"> IF(
    G95 = 0,
    0,
    (G95 - G98) * G97
)</f>
        <v>0</v>
      </c>
    </row>
    <row r="102" spans="2:8" ht="15" thickBot="1" x14ac:dyDescent="0.35">
      <c r="F102" s="10"/>
      <c r="G102" s="10"/>
    </row>
    <row r="103" spans="2:8" x14ac:dyDescent="0.3">
      <c r="F103" s="3" t="s">
        <v>114</v>
      </c>
      <c r="G103" s="18">
        <f>G100 + G101</f>
        <v>0</v>
      </c>
      <c r="H103" s="66" t="str">
        <f ca="1">_xlfn.LET(
    _xlpm.FormulaText, _xlfn.FORMULATEXT(G103),
    _xlpm.FormulaText
)</f>
        <v>=G100 + G101</v>
      </c>
    </row>
    <row r="105" spans="2:8" x14ac:dyDescent="0.3">
      <c r="F105" s="56" t="s">
        <v>112</v>
      </c>
      <c r="G105" s="57">
        <f xml:space="preserve"> IFERROR( G103 / G80, 0)</f>
        <v>0</v>
      </c>
      <c r="H105" s="66" t="str">
        <f ca="1">_xlfn.LET(
    _xlpm.FormulaText, _xlfn.FORMULATEXT(G105),
    _xlpm.FormulaText
)</f>
        <v>= IFERROR( G103 / G80, 0)</v>
      </c>
    </row>
    <row r="106" spans="2:8" x14ac:dyDescent="0.3">
      <c r="F106" s="56" t="s">
        <v>113</v>
      </c>
      <c r="G106" s="57">
        <f xml:space="preserve"> IFERROR( G103 / G85, 0)</f>
        <v>0</v>
      </c>
      <c r="H106" s="66" t="str">
        <f ca="1">_xlfn.LET(
    _xlpm.FormulaText, _xlfn.FORMULATEXT(G106),
    _xlpm.FormulaText
)</f>
        <v>= IFERROR( G103 / G85, 0)</v>
      </c>
    </row>
    <row r="107" spans="2:8" ht="15" thickBot="1" x14ac:dyDescent="0.35">
      <c r="B107" s="37" t="s">
        <v>115</v>
      </c>
      <c r="C107" s="37"/>
    </row>
    <row r="109" spans="2:8" x14ac:dyDescent="0.3">
      <c r="B109" t="str">
        <f>$F$27</f>
        <v>Total Long-term Capital Gains:</v>
      </c>
      <c r="C109" s="2">
        <f xml:space="preserve"> G27</f>
        <v>7000</v>
      </c>
      <c r="D109" s="66" t="str">
        <f ca="1">_xlfn.LET(
    _xlpm.FormulaText, _xlfn.FORMULATEXT(C109),
    HYPERLINK(
        "#" &amp; SUBSTITUTE(_xlpm.FormulaText, "=", ""),
        _xlpm.FormulaText
    )
)</f>
        <v>= G27</v>
      </c>
    </row>
    <row r="110" spans="2:8" x14ac:dyDescent="0.3">
      <c r="B110" s="33" t="s">
        <v>167</v>
      </c>
      <c r="C110" s="34">
        <f xml:space="preserve"> MIN( C80 + C84, 0)</f>
        <v>0</v>
      </c>
      <c r="D110" s="66" t="str">
        <f ca="1">_xlfn.LET(
    _xlpm.FormulaText, _xlfn.FORMULATEXT(C110),
    HYPERLINK(
        "#" &amp; SUBSTITUTE(_xlpm.FormulaText, "=", ""),
        _xlpm.FormulaText
    )
)</f>
        <v>= MIN( C80 + C84, 0)</v>
      </c>
    </row>
    <row r="111" spans="2:8" x14ac:dyDescent="0.3">
      <c r="B111" t="s">
        <v>166</v>
      </c>
      <c r="C111" s="2">
        <f xml:space="preserve"> MAX( C109 + C110, 0)</f>
        <v>7000</v>
      </c>
      <c r="D111" s="66"/>
    </row>
    <row r="113" spans="2:4" x14ac:dyDescent="0.3">
      <c r="B113" s="52" t="s">
        <v>116</v>
      </c>
      <c r="C113" s="53">
        <f xml:space="preserve"> C86</f>
        <v>71250</v>
      </c>
      <c r="D113" s="66" t="str">
        <f ca="1">_xlfn.LET(
    _xlpm.FormulaText, _xlfn.FORMULATEXT(C113),
    HYPERLINK(
        "#" &amp; SUBSTITUTE(_xlpm.FormulaText, "=", ""),
        _xlpm.FormulaText
    )
)</f>
        <v>= C86</v>
      </c>
    </row>
    <row r="114" spans="2:4" x14ac:dyDescent="0.3">
      <c r="B114" t="s">
        <v>117</v>
      </c>
      <c r="C114" s="6">
        <f>_xlfn.XLOOKUP(TRUE, LongTermCapitalGainsTaxRateTable[IsBracketStart], LongTermCapitalGainsTaxRateTable[LTCG Rate], NotFoundLabelCell)</f>
        <v>0.15</v>
      </c>
      <c r="D114" s="68" t="str" cm="1">
        <f t="array" aca="1" ref="D114" ca="1">_xlfn.LET(
    _xlpm.LookupTableName, "LongTermCapitalGainsTaxRateTable",
    _xlpm.ValueColumnName, "LTCG Rate",
    _xlpm.TableValueColumn, INDIRECT(_xlpm.LookupTableName &amp; "[" &amp; _xlpm.ValueColumnName &amp; "]"),
    _xlpm.TableRowNum, _xlfn.XMATCH(TRUE, INDIRECT(_xlpm.LookupTableName &amp; "[IsBracketStart]")),
    _xlpm.LinkTarget, IF(ISNA(_xlpm.TableRowNum),
        "#" &amp; CELL("address", D114),
        "#" &amp; CELL("address", INDEX(_xlpm.TableValueColumn, _xlpm.TableRowNum))
    ),
    _xlpm.LinkLabel, IF(ISNA(_xlpm.TableRowNum),
        NotFoundLabelCell,
        "in " &amp; _xlpm.LookupTableName
    ),
    HYPERLINK(_xlpm.LinkTarget, _xlpm.LinkLabel)
)</f>
        <v>in LongTermCapitalGainsTaxRateTable</v>
      </c>
    </row>
    <row r="115" spans="2:4" x14ac:dyDescent="0.3">
      <c r="B115" t="s">
        <v>118</v>
      </c>
      <c r="C115" s="2">
        <f>_xlfn.XLOOKUP(TRUE, LongTermCapitalGainsTaxRateTable[IsBracketStart], LongTermCapitalGainsTaxRateTable[RangeStart], NotFoundLabelCell)</f>
        <v>48350</v>
      </c>
      <c r="D115" s="68" t="str" cm="1">
        <f t="array" aca="1" ref="D115" ca="1">_xlfn.LET(
    _xlpm.LookupTableName, "LongTermCapitalGainsTaxRateTable",
    _xlpm.ValueColumnName, "RangeStart",
    _xlpm.TableValueColumn, INDIRECT(_xlpm.LookupTableName &amp; "[" &amp; _xlpm.ValueColumnName &amp; "]"),
    _xlpm.TableRowNum, _xlfn.XMATCH(TRUE, INDIRECT(_xlpm.LookupTableName &amp; "[IsBracketStart]")),
    _xlpm.LinkTarget, IF(ISNA(_xlpm.TableRowNum),
        "#" &amp; CELL("address", D115),
        "#" &amp; CELL("address", INDEX(_xlpm.TableValueColumn, _xlpm.TableRowNum))
    ),
    _xlpm.LinkLabel, IF(ISNA(_xlpm.TableRowNum),
        NotFoundLabelCell,
        "in " &amp; _xlpm.LookupTableName
    ),
    HYPERLINK(_xlpm.LinkTarget, _xlpm.LinkLabel)
)</f>
        <v>in LongTermCapitalGainsTaxRateTable</v>
      </c>
    </row>
    <row r="116" spans="2:4" x14ac:dyDescent="0.3">
      <c r="B116" t="s">
        <v>119</v>
      </c>
      <c r="C116" s="2">
        <f>IF(
    C113 = 0,
    0,
    _xlfn.XLOOKUP(TRUE, LongTermCapitalGainsTaxRateTable[IsBracketStart], LongTermCapitalGainsTaxRateTable[SumLowerRanges], NotFoundLabelCell)
)</f>
        <v>0</v>
      </c>
      <c r="D116" s="68" t="str" cm="1">
        <f t="array" aca="1" ref="D116" ca="1">_xlfn.LET(
    _xlpm.LookupTableName, "LongTermCapitalGainsTaxRateTable",
    _xlpm.ValueColumnName, "SumLowerRanges",
    _xlpm.TableValueColumn, INDIRECT(_xlpm.LookupTableName &amp; "[" &amp; _xlpm.ValueColumnName &amp; "]"),
    _xlpm.TableRowNum, _xlfn.XMATCH(TRUE, INDIRECT(_xlpm.LookupTableName &amp; "[IsBracketStart]")),
    _xlpm.LinkTarget, IF(ISNA(_xlpm.TableRowNum),
        "#" &amp; CELL("address", D116),
        "#" &amp; CELL("address", INDEX(_xlpm.TableValueColumn, _xlpm.TableRowNum))
    ),
    _xlpm.LinkLabel, IF(ISNA(_xlpm.TableRowNum),
        NotFoundLabelCell,
        "in " &amp; _xlpm.LookupTableName
    ),
    HYPERLINK(_xlpm.LinkTarget, _xlpm.LinkLabel)
)</f>
        <v>in LongTermCapitalGainsTaxRateTable</v>
      </c>
    </row>
    <row r="117" spans="2:4" x14ac:dyDescent="0.3">
      <c r="B117" t="s">
        <v>120</v>
      </c>
      <c r="C117" s="2">
        <f xml:space="preserve"> IF(
    C113 = 0,
    0,
    (C113 - C115) * C114
)</f>
        <v>3435</v>
      </c>
    </row>
    <row r="118" spans="2:4" x14ac:dyDescent="0.3">
      <c r="B118" s="62" t="s">
        <v>121</v>
      </c>
      <c r="C118" s="63">
        <f xml:space="preserve"> C116 + C117</f>
        <v>3435</v>
      </c>
      <c r="D118" s="66" t="str">
        <f ca="1">_xlfn.LET(
    _xlpm.FormulaText, _xlfn.FORMULATEXT(C118),
    _xlpm.FormulaText
)</f>
        <v>= C116 + C117</v>
      </c>
    </row>
    <row r="120" spans="2:4" x14ac:dyDescent="0.3">
      <c r="B120" s="52" t="s">
        <v>168</v>
      </c>
      <c r="C120" s="53">
        <f xml:space="preserve"> C113 + C111</f>
        <v>78250</v>
      </c>
      <c r="D120" s="66" t="str">
        <f ca="1">_xlfn.LET(
    _xlpm.FormulaText, _xlfn.FORMULATEXT(C120),
    _xlpm.FormulaText
)</f>
        <v>= C113 + C111</v>
      </c>
    </row>
    <row r="121" spans="2:4" x14ac:dyDescent="0.3">
      <c r="B121" t="s">
        <v>117</v>
      </c>
      <c r="C121" s="6">
        <f>_xlfn.XLOOKUP(TRUE, LongTermCapitalGainsTaxRateTable[IsBracketEnd], LongTermCapitalGainsTaxRateTable[LTCG Rate], NotFoundLabelCell)</f>
        <v>0.15</v>
      </c>
      <c r="D121" s="68" t="str" cm="1">
        <f t="array" aca="1" ref="D121" ca="1">_xlfn.LET(
    _xlpm.LookupTableName, "LongTermCapitalGainsTaxRateTable",
    _xlpm.ValueColumnName, "LTCG Rate",
    _xlpm.TableValueColumn, INDIRECT(_xlpm.LookupTableName &amp; "[" &amp; _xlpm.ValueColumnName &amp; "]"),
    _xlpm.TableRowNum, _xlfn.XMATCH(TRUE, INDIRECT(_xlpm.LookupTableName &amp; "[IsBracketEnd]")),
    _xlpm.LinkTarget, IF(ISNA(_xlpm.TableRowNum),
        "#" &amp; CELL("address", D121),
        "#" &amp; CELL("address", INDEX(_xlpm.TableValueColumn, _xlpm.TableRowNum))
    ),
    _xlpm.LinkLabel, IF(ISNA(_xlpm.TableRowNum),
        NotFoundLabelCell,
        "in " &amp; _xlpm.LookupTableName
    ),
    HYPERLINK(_xlpm.LinkTarget, _xlpm.LinkLabel)
)</f>
        <v>in LongTermCapitalGainsTaxRateTable</v>
      </c>
    </row>
    <row r="122" spans="2:4" x14ac:dyDescent="0.3">
      <c r="B122" t="s">
        <v>118</v>
      </c>
      <c r="C122" s="2">
        <f>_xlfn.XLOOKUP(TRUE, LongTermCapitalGainsTaxRateTable[IsBracketEnd], LongTermCapitalGainsTaxRateTable[RangeStart], NotFoundLabelCell)</f>
        <v>48350</v>
      </c>
      <c r="D122" s="68" t="str" cm="1">
        <f t="array" aca="1" ref="D122" ca="1">_xlfn.LET(
    _xlpm.LookupTableName, "LongTermCapitalGainsTaxRateTable",
    _xlpm.ValueColumnName, "RangeStart",
    _xlpm.TableValueColumn, INDIRECT(_xlpm.LookupTableName &amp; "[" &amp; _xlpm.ValueColumnName &amp; "]"),
    _xlpm.TableRowNum, _xlfn.XMATCH(TRUE, INDIRECT(_xlpm.LookupTableName &amp; "[IsBracketEnd]")),
    _xlpm.LinkTarget, IF(ISNA(_xlpm.TableRowNum),
        "#" &amp; CELL("address", D122),
        "#" &amp; CELL("address", INDEX(_xlpm.TableValueColumn, _xlpm.TableRowNum))
    ),
    _xlpm.LinkLabel, IF(ISNA(_xlpm.TableRowNum),
        NotFoundLabelCell,
        "in " &amp; _xlpm.LookupTableName
    ),
    HYPERLINK(_xlpm.LinkTarget, _xlpm.LinkLabel)
)</f>
        <v>in LongTermCapitalGainsTaxRateTable</v>
      </c>
    </row>
    <row r="123" spans="2:4" x14ac:dyDescent="0.3">
      <c r="B123" t="s">
        <v>119</v>
      </c>
      <c r="C123" s="2">
        <f>IF(
    C120 = 0,
    0,
    _xlfn.XLOOKUP(TRUE, LongTermCapitalGainsTaxRateTable[IsBracketEnd], LongTermCapitalGainsTaxRateTable[SumLowerRanges], NotFoundLabelCell)
)</f>
        <v>0</v>
      </c>
      <c r="D123" s="68" t="str" cm="1">
        <f t="array" aca="1" ref="D123" ca="1">_xlfn.LET(
    _xlpm.LookupTableName, "LongTermCapitalGainsTaxRateTable",
    _xlpm.ValueColumnName, "SumLowerRanges",
    _xlpm.TableValueColumn, INDIRECT(_xlpm.LookupTableName &amp; "[" &amp; _xlpm.ValueColumnName &amp; "]"),
    _xlpm.TableRowNum, _xlfn.XMATCH(TRUE, INDIRECT(_xlpm.LookupTableName &amp; "[IsBracketEnd]")),
    _xlpm.LinkTarget, IF(ISNA(_xlpm.TableRowNum),
        "#" &amp; CELL("address", D123),
        "#" &amp; CELL("address", INDEX(_xlpm.TableValueColumn, _xlpm.TableRowNum))
    ),
    _xlpm.LinkLabel, IF(ISNA(_xlpm.TableRowNum),
        NotFoundLabelCell,
        "in " &amp; _xlpm.LookupTableName
    ),
    HYPERLINK(_xlpm.LinkTarget, _xlpm.LinkLabel)
)</f>
        <v>in LongTermCapitalGainsTaxRateTable</v>
      </c>
    </row>
    <row r="124" spans="2:4" x14ac:dyDescent="0.3">
      <c r="B124" t="s">
        <v>120</v>
      </c>
      <c r="C124" s="2">
        <f xml:space="preserve"> IF(
    C120 = 0,
    0,
    (C120 - C122) * C121
)</f>
        <v>4485</v>
      </c>
    </row>
    <row r="125" spans="2:4" x14ac:dyDescent="0.3">
      <c r="B125" s="62" t="s">
        <v>122</v>
      </c>
      <c r="C125" s="63">
        <f xml:space="preserve"> C123 + C124</f>
        <v>4485</v>
      </c>
      <c r="D125" s="66" t="str">
        <f ca="1">_xlfn.LET(
    _xlpm.FormulaText, _xlfn.FORMULATEXT(C125),
    _xlpm.FormulaText
)</f>
        <v>= C123 + C124</v>
      </c>
    </row>
    <row r="126" spans="2:4" ht="15" thickBot="1" x14ac:dyDescent="0.35">
      <c r="B126" s="10"/>
      <c r="C126" s="10"/>
    </row>
    <row r="127" spans="2:4" x14ac:dyDescent="0.3">
      <c r="B127" s="3" t="s">
        <v>123</v>
      </c>
      <c r="C127" s="4">
        <f xml:space="preserve"> C125 - C118</f>
        <v>1050</v>
      </c>
      <c r="D127" s="66" t="str">
        <f ca="1">_xlfn.LET(
    _xlpm.FormulaText, _xlfn.FORMULATEXT(C127),
    _xlpm.FormulaText
)</f>
        <v>= C125 - C118</v>
      </c>
    </row>
    <row r="129" spans="2:4" x14ac:dyDescent="0.3">
      <c r="B129" s="56" t="s">
        <v>124</v>
      </c>
      <c r="C129" s="57">
        <f xml:space="preserve"> C127 / C109</f>
        <v>0.15</v>
      </c>
      <c r="D129" s="66" t="str">
        <f ca="1">_xlfn.LET(
    _xlpm.FormulaText, _xlfn.FORMULATEXT(C129),
    _xlpm.FormulaText
)</f>
        <v>= C127 / C109</v>
      </c>
    </row>
  </sheetData>
  <mergeCells count="3">
    <mergeCell ref="B8:C8"/>
    <mergeCell ref="B31:C31"/>
    <mergeCell ref="B43:C43"/>
  </mergeCells>
  <conditionalFormatting sqref="D18">
    <cfRule type="expression" dxfId="47" priority="9">
      <formula>(D18 &lt;&gt; InRangeLabelCell)</formula>
    </cfRule>
  </conditionalFormatting>
  <conditionalFormatting sqref="D27">
    <cfRule type="expression" dxfId="46" priority="8">
      <formula>(D27 &lt;&gt; InRangeLabelCell)</formula>
    </cfRule>
  </conditionalFormatting>
  <conditionalFormatting sqref="D39">
    <cfRule type="expression" dxfId="45" priority="3">
      <formula>(D39 &lt;&gt; InRangeLabelCell)</formula>
    </cfRule>
  </conditionalFormatting>
  <conditionalFormatting sqref="H18">
    <cfRule type="expression" dxfId="44" priority="7">
      <formula>(H18 &lt;&gt; InRangeLabelCell)</formula>
    </cfRule>
  </conditionalFormatting>
  <conditionalFormatting sqref="H27">
    <cfRule type="expression" dxfId="43" priority="6">
      <formula>(H27 &lt;&gt; InRangeLabelCell)</formula>
    </cfRule>
  </conditionalFormatting>
  <conditionalFormatting sqref="H40">
    <cfRule type="expression" dxfId="42" priority="4">
      <formula>(H40 &lt;&gt; InRangeLabelCell)</formula>
    </cfRule>
  </conditionalFormatting>
  <conditionalFormatting sqref="H61">
    <cfRule type="expression" dxfId="41" priority="2">
      <formula>(H61 &lt;&gt; InRangeLabelCell)</formula>
    </cfRule>
  </conditionalFormatting>
  <conditionalFormatting sqref="L27">
    <cfRule type="expression" dxfId="40" priority="5">
      <formula>(L27 &lt;&gt; InRangeLabelCell)</formula>
    </cfRule>
  </conditionalFormatting>
  <dataValidations count="3">
    <dataValidation type="list" showInputMessage="1" showErrorMessage="1" errorTitle="Select a valid Filing Status!" sqref="G10" xr:uid="{22F786C8-D548-412E-9EDA-1984E78A27DA}">
      <formula1>INDIRECT("FilingStatusTable[Filing Status]")</formula1>
    </dataValidation>
    <dataValidation showInputMessage="1" showErrorMessage="1" errorTitle="Select a valid Filing Status!" sqref="G11" xr:uid="{01E1D8A8-A2C5-4CD1-ABDF-8F475C398654}"/>
    <dataValidation type="list" showInputMessage="1" showErrorMessage="1" sqref="C10" xr:uid="{9F275DEF-268C-4257-A600-61E6809140EC}">
      <formula1>INDIRECT("SupportedYearsTable[Tax Year]")</formula1>
    </dataValidation>
  </dataValidations>
  <hyperlinks>
    <hyperlink ref="C2" r:id="rId1" xr:uid="{CAF6F810-15C1-4ED3-9E99-171B1097B6A3}"/>
  </hyperlinks>
  <pageMargins left="0.7" right="0.7" top="0.75" bottom="0.75" header="0.3" footer="0.3"/>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3440E-DDCC-4C0C-A27B-0551C5290F43}">
  <dimension ref="B2:M291"/>
  <sheetViews>
    <sheetView workbookViewId="0">
      <selection activeCell="B4" sqref="B4"/>
    </sheetView>
  </sheetViews>
  <sheetFormatPr defaultRowHeight="14.4" x14ac:dyDescent="0.3"/>
  <cols>
    <col min="2" max="2" width="20.6640625" customWidth="1"/>
    <col min="3" max="4" width="12.109375" bestFit="1" customWidth="1"/>
    <col min="5" max="5" width="10.6640625" customWidth="1"/>
    <col min="6" max="6" width="29.33203125" bestFit="1" customWidth="1"/>
    <col min="7" max="7" width="15.109375" bestFit="1" customWidth="1"/>
    <col min="8" max="8" width="18" bestFit="1" customWidth="1"/>
    <col min="9" max="9" width="22.6640625" bestFit="1" customWidth="1"/>
    <col min="10" max="10" width="14.6640625" bestFit="1" customWidth="1"/>
    <col min="11" max="11" width="17.88671875" bestFit="1" customWidth="1"/>
    <col min="12" max="12" width="14.33203125" bestFit="1" customWidth="1"/>
    <col min="13" max="13" width="13.5546875" bestFit="1" customWidth="1"/>
  </cols>
  <sheetData>
    <row r="2" spans="2:12" ht="15.6" x14ac:dyDescent="0.3">
      <c r="B2" s="23" t="s">
        <v>125</v>
      </c>
      <c r="C2" s="23"/>
      <c r="D2" s="23"/>
      <c r="E2" s="23"/>
      <c r="F2" s="23"/>
      <c r="G2" s="23"/>
      <c r="H2" s="22"/>
    </row>
    <row r="3" spans="2:12" ht="15.6" x14ac:dyDescent="0.3">
      <c r="B3" s="23" t="s">
        <v>126</v>
      </c>
      <c r="C3" s="23"/>
      <c r="D3" s="23"/>
      <c r="E3" s="23"/>
      <c r="F3" s="23"/>
      <c r="G3" s="23"/>
      <c r="H3" s="22"/>
    </row>
    <row r="4" spans="2:12" ht="15.6" x14ac:dyDescent="0.3">
      <c r="B4" s="23" t="s">
        <v>127</v>
      </c>
      <c r="C4" s="83" t="s">
        <v>2</v>
      </c>
      <c r="D4" s="23"/>
      <c r="E4" s="23"/>
      <c r="F4" s="23"/>
      <c r="G4" s="23"/>
      <c r="H4" s="22"/>
    </row>
    <row r="7" spans="2:12" x14ac:dyDescent="0.3">
      <c r="B7" s="5" t="str">
        <f ca="1">_xlfn.LET(
    _xlpm.HandleFormulaText, _xlfn.FORMULATEXT(D7),
    MID(_xlpm.HandleFormulaText, 2, FIND("[", _xlpm.HandleFormulaText) - 2)
)</f>
        <v>FilingStatusTable</v>
      </c>
      <c r="C7" s="13" t="s">
        <v>128</v>
      </c>
      <c r="D7" s="14" t="str">
        <f>FilingStatusTable[[#Headers],[Filing Status]]</f>
        <v>Filing Status</v>
      </c>
      <c r="F7" t="s">
        <v>129</v>
      </c>
      <c r="G7" s="21" t="s">
        <v>130</v>
      </c>
    </row>
    <row r="8" spans="2:12" x14ac:dyDescent="0.3">
      <c r="C8" s="16" t="str">
        <f xml:space="preserve"> _xlfn.LET(
    _xlpm.CountSelected, COUNTIF(FilingStatusTable[IsSelected], TRUE),
    IF( _xlpm.CountSelected = 1, SelectionValidLabelCell, "Error: " &amp; _xlpm.CountSelected &amp; " rows selected")
)</f>
        <v>Valid</v>
      </c>
      <c r="F8" t="s">
        <v>131</v>
      </c>
      <c r="G8" s="21" t="s">
        <v>132</v>
      </c>
    </row>
    <row r="9" spans="2:12" x14ac:dyDescent="0.3">
      <c r="B9" s="24" t="s">
        <v>133</v>
      </c>
      <c r="C9" s="24" t="s">
        <v>134</v>
      </c>
      <c r="F9" t="s">
        <v>135</v>
      </c>
      <c r="G9" s="21" t="s">
        <v>136</v>
      </c>
    </row>
    <row r="10" spans="2:12" x14ac:dyDescent="0.3">
      <c r="B10" t="s">
        <v>23</v>
      </c>
      <c r="C10" t="b">
        <f xml:space="preserve"> (FilingStatusTable[[#This Row],[Filing Status]] = EstimateInputFilingStatusCell)</f>
        <v>1</v>
      </c>
      <c r="F10" t="s">
        <v>137</v>
      </c>
      <c r="G10" s="21" t="s">
        <v>138</v>
      </c>
    </row>
    <row r="11" spans="2:12" x14ac:dyDescent="0.3">
      <c r="B11" t="s">
        <v>139</v>
      </c>
      <c r="C11" t="b">
        <f xml:space="preserve"> (FilingStatusTable[[#This Row],[Filing Status]] = EstimateInputFilingStatusCell)</f>
        <v>0</v>
      </c>
      <c r="F11" t="s">
        <v>140</v>
      </c>
      <c r="G11" s="79">
        <v>10000000</v>
      </c>
    </row>
    <row r="12" spans="2:12" x14ac:dyDescent="0.3">
      <c r="B12" t="s">
        <v>141</v>
      </c>
      <c r="C12" t="b">
        <f xml:space="preserve"> (FilingStatusTable[[#This Row],[Filing Status]] = EstimateInputFilingStatusCell)</f>
        <v>0</v>
      </c>
    </row>
    <row r="13" spans="2:12" x14ac:dyDescent="0.3">
      <c r="B13" t="s">
        <v>142</v>
      </c>
      <c r="C13" t="b">
        <f xml:space="preserve"> (FilingStatusTable[[#This Row],[Filing Status]] = EstimateInputFilingStatusCell)</f>
        <v>0</v>
      </c>
    </row>
    <row r="15" spans="2:12" x14ac:dyDescent="0.3">
      <c r="F15" s="27" t="str">
        <f ca="1">_xlfn.LET(
    _xlpm.HandleFormulaText, _xlfn.FORMULATEXT(H15),
    MID(_xlpm.HandleFormulaText, 2, FIND("[", _xlpm.HandleFormulaText) - 2)
)</f>
        <v>MedicareWageTaxRateTable</v>
      </c>
      <c r="G15" s="13" t="s">
        <v>128</v>
      </c>
      <c r="H15" s="14" t="str">
        <f>MedicareWageTaxRateTable[[#Headers],[Medicare Rate]]</f>
        <v>Medicare Rate</v>
      </c>
    </row>
    <row r="16" spans="2:12" x14ac:dyDescent="0.3">
      <c r="L16" s="16" t="str">
        <f xml:space="preserve"> _xlfn.LET(
    _xlpm.CountSelected, COUNTIF(MedicareWageTaxRateTable[IsSelected], TRUE),
    IF( _xlpm.CountSelected = 1, SelectionValidLabelCell, "Error: " &amp; _xlpm.CountSelected &amp; " rows selected")
)</f>
        <v>Valid</v>
      </c>
    </row>
    <row r="17" spans="2:12" x14ac:dyDescent="0.3">
      <c r="B17" s="5" t="str">
        <f ca="1">_xlfn.LET(
    _xlpm.HandleFormulaText, _xlfn.FORMULATEXT(D17),
    MID(_xlpm.HandleFormulaText, 2, FIND("[", _xlpm.HandleFormulaText) - 2)
)</f>
        <v>SupportedYearsTable</v>
      </c>
      <c r="C17" s="13" t="s">
        <v>128</v>
      </c>
      <c r="D17" s="14" t="str">
        <f>SupportedYearsTable[[#Headers],[Tax Year]]</f>
        <v>Tax Year</v>
      </c>
      <c r="F17" s="24" t="s">
        <v>133</v>
      </c>
      <c r="G17" s="24" t="s">
        <v>143</v>
      </c>
      <c r="H17" s="24" t="s">
        <v>144</v>
      </c>
      <c r="I17" s="24" t="s">
        <v>145</v>
      </c>
      <c r="J17" s="24" t="s">
        <v>146</v>
      </c>
      <c r="K17" s="24" t="s">
        <v>147</v>
      </c>
      <c r="L17" s="24" t="s">
        <v>134</v>
      </c>
    </row>
    <row r="18" spans="2:12" x14ac:dyDescent="0.3">
      <c r="C18" s="16" t="str">
        <f xml:space="preserve"> _xlfn.LET(
    _xlpm.CountSelected, COUNTIF(SupportedYearsTable[IsSelected], TRUE),
    IF( _xlpm.CountSelected = 1, SelectionValidLabelCell, "Error: " &amp; _xlpm.CountSelected &amp; " rows selected")
)</f>
        <v>Valid</v>
      </c>
      <c r="F18" s="6" t="s">
        <v>23</v>
      </c>
      <c r="G18" s="7">
        <v>2024</v>
      </c>
      <c r="H18" s="6">
        <v>1.4500000000000001E-2</v>
      </c>
      <c r="I18" s="28">
        <v>0</v>
      </c>
      <c r="J18" s="28">
        <v>200000</v>
      </c>
      <c r="K18" s="2">
        <v>0</v>
      </c>
      <c r="L18"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19" spans="2:12" x14ac:dyDescent="0.3">
      <c r="B19" s="24" t="s">
        <v>143</v>
      </c>
      <c r="C19" s="24" t="s">
        <v>134</v>
      </c>
      <c r="F19" s="6" t="s">
        <v>23</v>
      </c>
      <c r="G19" s="7">
        <v>2024</v>
      </c>
      <c r="H19" s="6">
        <f xml:space="preserve"> $H18 + 0.009</f>
        <v>2.35E-2</v>
      </c>
      <c r="I19" s="28">
        <f>$J18</f>
        <v>200000</v>
      </c>
      <c r="J19" s="28">
        <f>MaxIncomeCell</f>
        <v>10000000</v>
      </c>
      <c r="K19" s="2">
        <f>$J18*$H18</f>
        <v>2900</v>
      </c>
      <c r="L19"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20" spans="2:12" x14ac:dyDescent="0.3">
      <c r="B20">
        <v>2024</v>
      </c>
      <c r="C20" t="b">
        <f xml:space="preserve"> (SupportedYearsTable[[#This Row],[Tax Year]] = EstimateInputTaxYearCell)</f>
        <v>0</v>
      </c>
      <c r="F20" s="6" t="s">
        <v>139</v>
      </c>
      <c r="G20" s="7">
        <v>2024</v>
      </c>
      <c r="H20" s="6">
        <v>1.4500000000000001E-2</v>
      </c>
      <c r="I20" s="28">
        <v>0</v>
      </c>
      <c r="J20" s="28">
        <v>250000</v>
      </c>
      <c r="K20" s="2">
        <v>0</v>
      </c>
      <c r="L20"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21" spans="2:12" x14ac:dyDescent="0.3">
      <c r="B21">
        <v>2025</v>
      </c>
      <c r="C21" t="b">
        <f xml:space="preserve"> (SupportedYearsTable[[#This Row],[Tax Year]] = EstimateInputTaxYearCell)</f>
        <v>1</v>
      </c>
      <c r="F21" s="6" t="s">
        <v>139</v>
      </c>
      <c r="G21" s="7">
        <v>2024</v>
      </c>
      <c r="H21" s="6">
        <f xml:space="preserve"> $H20 + 0.009</f>
        <v>2.35E-2</v>
      </c>
      <c r="I21" s="28">
        <f>$J20</f>
        <v>250000</v>
      </c>
      <c r="J21" s="28">
        <f>MaxIncomeCell</f>
        <v>10000000</v>
      </c>
      <c r="K21" s="2">
        <f>$J20*$H20</f>
        <v>3625</v>
      </c>
      <c r="L21"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22" spans="2:12" x14ac:dyDescent="0.3">
      <c r="B22">
        <v>2026</v>
      </c>
      <c r="C22" t="b">
        <f xml:space="preserve"> (SupportedYearsTable[[#This Row],[Tax Year]] = EstimateInputTaxYearCell)</f>
        <v>0</v>
      </c>
      <c r="F22" s="6" t="s">
        <v>141</v>
      </c>
      <c r="G22" s="7">
        <v>2024</v>
      </c>
      <c r="H22" s="6">
        <v>1.4500000000000001E-2</v>
      </c>
      <c r="I22" s="28">
        <v>0</v>
      </c>
      <c r="J22" s="28">
        <v>125000</v>
      </c>
      <c r="K22" s="2">
        <v>0</v>
      </c>
      <c r="L22"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23" spans="2:12" x14ac:dyDescent="0.3">
      <c r="F23" s="6" t="s">
        <v>141</v>
      </c>
      <c r="G23" s="7">
        <v>2024</v>
      </c>
      <c r="H23" s="6">
        <f xml:space="preserve"> $H22 + 0.009</f>
        <v>2.35E-2</v>
      </c>
      <c r="I23" s="28">
        <f>$J22</f>
        <v>125000</v>
      </c>
      <c r="J23" s="28">
        <f>MaxIncomeCell</f>
        <v>10000000</v>
      </c>
      <c r="K23" s="2">
        <f>$J22*$H22</f>
        <v>1812.5</v>
      </c>
      <c r="L23"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24" spans="2:12" x14ac:dyDescent="0.3">
      <c r="F24" s="6" t="s">
        <v>142</v>
      </c>
      <c r="G24" s="7">
        <v>2024</v>
      </c>
      <c r="H24" s="6">
        <v>1.4500000000000001E-2</v>
      </c>
      <c r="I24" s="28">
        <v>0</v>
      </c>
      <c r="J24" s="28">
        <v>200000</v>
      </c>
      <c r="K24" s="2">
        <v>0</v>
      </c>
      <c r="L24"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25" spans="2:12" x14ac:dyDescent="0.3">
      <c r="F25" s="6" t="s">
        <v>142</v>
      </c>
      <c r="G25" s="7">
        <v>2024</v>
      </c>
      <c r="H25" s="6">
        <f xml:space="preserve"> $H24 + 0.009</f>
        <v>2.35E-2</v>
      </c>
      <c r="I25" s="28">
        <f>$J24</f>
        <v>200000</v>
      </c>
      <c r="J25" s="28">
        <f>MaxIncomeCell</f>
        <v>10000000</v>
      </c>
      <c r="K25" s="2">
        <f>$J24*$H24</f>
        <v>2900</v>
      </c>
      <c r="L25"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26" spans="2:12" x14ac:dyDescent="0.3">
      <c r="F26" s="29"/>
      <c r="G26" s="7"/>
      <c r="H26" s="6"/>
      <c r="I26" s="28"/>
      <c r="J26" s="28"/>
      <c r="K26" s="2"/>
      <c r="L26"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27" spans="2:12" x14ac:dyDescent="0.3">
      <c r="F27" s="6" t="s">
        <v>23</v>
      </c>
      <c r="G27" s="7">
        <v>2025</v>
      </c>
      <c r="H27" s="6">
        <v>1.4500000000000001E-2</v>
      </c>
      <c r="I27" s="28">
        <v>0</v>
      </c>
      <c r="J27" s="28">
        <v>200000</v>
      </c>
      <c r="K27" s="2">
        <v>0</v>
      </c>
      <c r="L27"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1</v>
      </c>
    </row>
    <row r="28" spans="2:12" x14ac:dyDescent="0.3">
      <c r="F28" s="6" t="s">
        <v>23</v>
      </c>
      <c r="G28" s="7">
        <v>2025</v>
      </c>
      <c r="H28" s="6">
        <f xml:space="preserve"> $H27 + 0.009</f>
        <v>2.35E-2</v>
      </c>
      <c r="I28" s="28">
        <f>$J27</f>
        <v>200000</v>
      </c>
      <c r="J28" s="28">
        <f>MaxIncomeCell</f>
        <v>10000000</v>
      </c>
      <c r="K28" s="2">
        <f>$J27*$H27</f>
        <v>2900</v>
      </c>
      <c r="L28"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29" spans="2:12" x14ac:dyDescent="0.3">
      <c r="F29" s="6" t="s">
        <v>139</v>
      </c>
      <c r="G29" s="7">
        <v>2025</v>
      </c>
      <c r="H29" s="6">
        <v>1.4500000000000001E-2</v>
      </c>
      <c r="I29" s="28">
        <v>0</v>
      </c>
      <c r="J29" s="28">
        <v>250000</v>
      </c>
      <c r="K29" s="2">
        <v>0</v>
      </c>
      <c r="L29"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30" spans="2:12" x14ac:dyDescent="0.3">
      <c r="F30" s="6" t="s">
        <v>139</v>
      </c>
      <c r="G30" s="7">
        <v>2025</v>
      </c>
      <c r="H30" s="6">
        <f xml:space="preserve"> $H29 + 0.009</f>
        <v>2.35E-2</v>
      </c>
      <c r="I30" s="28">
        <f>$J29</f>
        <v>250000</v>
      </c>
      <c r="J30" s="28">
        <f>MaxIncomeCell</f>
        <v>10000000</v>
      </c>
      <c r="K30" s="2">
        <f>$J29*$H29</f>
        <v>3625</v>
      </c>
      <c r="L30"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31" spans="2:12" x14ac:dyDescent="0.3">
      <c r="F31" s="6" t="s">
        <v>141</v>
      </c>
      <c r="G31" s="7">
        <v>2025</v>
      </c>
      <c r="H31" s="6">
        <v>1.4500000000000001E-2</v>
      </c>
      <c r="I31" s="28">
        <v>0</v>
      </c>
      <c r="J31" s="28">
        <v>125000</v>
      </c>
      <c r="K31" s="2">
        <v>0</v>
      </c>
      <c r="L31"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32" spans="2:12" x14ac:dyDescent="0.3">
      <c r="F32" s="6" t="s">
        <v>141</v>
      </c>
      <c r="G32" s="7">
        <v>2025</v>
      </c>
      <c r="H32" s="6">
        <f xml:space="preserve"> $H31 + 0.009</f>
        <v>2.35E-2</v>
      </c>
      <c r="I32" s="28">
        <f>$J31</f>
        <v>125000</v>
      </c>
      <c r="J32" s="28">
        <f>MaxIncomeCell</f>
        <v>10000000</v>
      </c>
      <c r="K32" s="2">
        <f>$J31*$H31</f>
        <v>1812.5</v>
      </c>
      <c r="L32"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33" spans="6:12" x14ac:dyDescent="0.3">
      <c r="F33" s="6" t="s">
        <v>142</v>
      </c>
      <c r="G33" s="7">
        <v>2025</v>
      </c>
      <c r="H33" s="6">
        <v>1.4500000000000001E-2</v>
      </c>
      <c r="I33" s="28">
        <v>0</v>
      </c>
      <c r="J33" s="28">
        <v>200000</v>
      </c>
      <c r="K33" s="2">
        <v>0</v>
      </c>
      <c r="L33"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34" spans="6:12" x14ac:dyDescent="0.3">
      <c r="F34" s="6" t="s">
        <v>142</v>
      </c>
      <c r="G34" s="7">
        <v>2025</v>
      </c>
      <c r="H34" s="6">
        <f xml:space="preserve"> $H33 + 0.009</f>
        <v>2.35E-2</v>
      </c>
      <c r="I34" s="28">
        <f>$J33</f>
        <v>200000</v>
      </c>
      <c r="J34" s="28">
        <f>MaxIncomeCell</f>
        <v>10000000</v>
      </c>
      <c r="K34" s="2">
        <f>$J33*$H33</f>
        <v>2900</v>
      </c>
      <c r="L34"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35" spans="6:12" x14ac:dyDescent="0.3">
      <c r="F35" s="91"/>
      <c r="G35" s="7"/>
      <c r="H35" s="6"/>
      <c r="I35" s="28"/>
      <c r="J35" s="28"/>
      <c r="K35" s="2"/>
      <c r="L35"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36" spans="6:12" x14ac:dyDescent="0.3">
      <c r="F36" s="91" t="s">
        <v>23</v>
      </c>
      <c r="G36" s="7">
        <v>2026</v>
      </c>
      <c r="H36" s="6">
        <v>1.4500000000000001E-2</v>
      </c>
      <c r="I36" s="28">
        <v>0</v>
      </c>
      <c r="J36" s="28">
        <v>200000</v>
      </c>
      <c r="K36" s="2">
        <v>0</v>
      </c>
      <c r="L36"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37" spans="6:12" x14ac:dyDescent="0.3">
      <c r="F37" s="91" t="s">
        <v>23</v>
      </c>
      <c r="G37" s="7">
        <v>2026</v>
      </c>
      <c r="H37" s="6">
        <f xml:space="preserve"> $H36 + 0.009</f>
        <v>2.35E-2</v>
      </c>
      <c r="I37" s="28">
        <f>$J36</f>
        <v>200000</v>
      </c>
      <c r="J37" s="28">
        <f>MaxIncomeCell</f>
        <v>10000000</v>
      </c>
      <c r="K37" s="2">
        <f>$J36*$H36</f>
        <v>2900</v>
      </c>
      <c r="L37"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38" spans="6:12" x14ac:dyDescent="0.3">
      <c r="F38" s="91" t="s">
        <v>139</v>
      </c>
      <c r="G38" s="7">
        <v>2026</v>
      </c>
      <c r="H38" s="6">
        <v>1.4500000000000001E-2</v>
      </c>
      <c r="I38" s="28">
        <v>0</v>
      </c>
      <c r="J38" s="28">
        <v>250000</v>
      </c>
      <c r="K38" s="2">
        <v>0</v>
      </c>
      <c r="L38"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39" spans="6:12" x14ac:dyDescent="0.3">
      <c r="F39" s="91" t="s">
        <v>139</v>
      </c>
      <c r="G39" s="7">
        <v>2026</v>
      </c>
      <c r="H39" s="6">
        <f xml:space="preserve"> $H38 + 0.009</f>
        <v>2.35E-2</v>
      </c>
      <c r="I39" s="28">
        <f>$J38</f>
        <v>250000</v>
      </c>
      <c r="J39" s="28">
        <f>MaxIncomeCell</f>
        <v>10000000</v>
      </c>
      <c r="K39" s="2">
        <f>$J38*$H38</f>
        <v>3625</v>
      </c>
      <c r="L39"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40" spans="6:12" x14ac:dyDescent="0.3">
      <c r="F40" s="91" t="s">
        <v>141</v>
      </c>
      <c r="G40" s="7">
        <v>2026</v>
      </c>
      <c r="H40" s="6">
        <v>1.4500000000000001E-2</v>
      </c>
      <c r="I40" s="28">
        <v>0</v>
      </c>
      <c r="J40" s="28">
        <v>125000</v>
      </c>
      <c r="K40" s="2">
        <v>0</v>
      </c>
      <c r="L40"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41" spans="6:12" x14ac:dyDescent="0.3">
      <c r="F41" s="91" t="s">
        <v>141</v>
      </c>
      <c r="G41" s="7">
        <v>2026</v>
      </c>
      <c r="H41" s="6">
        <f xml:space="preserve"> $H40 + 0.009</f>
        <v>2.35E-2</v>
      </c>
      <c r="I41" s="28">
        <f>$J40</f>
        <v>125000</v>
      </c>
      <c r="J41" s="28">
        <f>MaxIncomeCell</f>
        <v>10000000</v>
      </c>
      <c r="K41" s="2">
        <f>$J40*$H40</f>
        <v>1812.5</v>
      </c>
      <c r="L41"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42" spans="6:12" x14ac:dyDescent="0.3">
      <c r="F42" s="91" t="s">
        <v>142</v>
      </c>
      <c r="G42" s="7">
        <v>2026</v>
      </c>
      <c r="H42" s="6">
        <v>1.4500000000000001E-2</v>
      </c>
      <c r="I42" s="28">
        <v>0</v>
      </c>
      <c r="J42" s="28">
        <v>200000</v>
      </c>
      <c r="K42" s="2">
        <v>0</v>
      </c>
      <c r="L42"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43" spans="6:12" x14ac:dyDescent="0.3">
      <c r="F43" s="91" t="s">
        <v>142</v>
      </c>
      <c r="G43" s="7">
        <v>2026</v>
      </c>
      <c r="H43" s="6">
        <f xml:space="preserve"> $H42 + 0.009</f>
        <v>2.35E-2</v>
      </c>
      <c r="I43" s="28">
        <f>$J42</f>
        <v>200000</v>
      </c>
      <c r="J43" s="28">
        <f>MaxIncomeCell</f>
        <v>10000000</v>
      </c>
      <c r="K43" s="2">
        <f>$J42*$H42</f>
        <v>2900</v>
      </c>
      <c r="L43"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44" spans="6:12" x14ac:dyDescent="0.3">
      <c r="F44" s="6"/>
      <c r="G44" s="7"/>
      <c r="H44" s="6"/>
      <c r="I44" s="28"/>
      <c r="J44" s="28"/>
      <c r="K44" s="2"/>
    </row>
    <row r="47" spans="6:12" x14ac:dyDescent="0.3">
      <c r="F47" s="27" t="str">
        <f ca="1">_xlfn.LET(
    _xlpm.HandleFormulaText, _xlfn.FORMULATEXT(H47),
    MID(_xlpm.HandleFormulaText, 2, FIND("[", _xlpm.HandleFormulaText) - 2)
)</f>
        <v>MedicareNetInvestIncomeTaxTable</v>
      </c>
      <c r="G47" s="13" t="s">
        <v>128</v>
      </c>
      <c r="H47" s="14" t="str">
        <f>MedicareNetInvestIncomeTaxTable[[#Headers],[NetInvestInc Rate]]</f>
        <v>NetInvestInc Rate</v>
      </c>
    </row>
    <row r="48" spans="6:12" x14ac:dyDescent="0.3">
      <c r="J48" s="16" t="str">
        <f xml:space="preserve"> _xlfn.LET(
    _xlpm.CountSelected, COUNTIF(MedicareNetInvestIncomeTaxTable[IsSelected], TRUE),
    IF( _xlpm.CountSelected = 1, SelectionValidLabelCell, "Error: " &amp; _xlpm.CountSelected &amp; " rows selected")
)</f>
        <v>Valid</v>
      </c>
    </row>
    <row r="49" spans="6:10" x14ac:dyDescent="0.3">
      <c r="F49" t="s">
        <v>148</v>
      </c>
      <c r="G49" t="s">
        <v>143</v>
      </c>
      <c r="H49" t="s">
        <v>149</v>
      </c>
      <c r="I49" t="s">
        <v>150</v>
      </c>
      <c r="J49" t="s">
        <v>134</v>
      </c>
    </row>
    <row r="50" spans="6:10" x14ac:dyDescent="0.3">
      <c r="F50" s="6" t="s">
        <v>23</v>
      </c>
      <c r="G50" s="7">
        <v>2024</v>
      </c>
      <c r="H50" s="6">
        <v>3.7999999999999999E-2</v>
      </c>
      <c r="I50" s="28">
        <v>200000</v>
      </c>
      <c r="J50" t="b">
        <f xml:space="preserve"> AND(
    (MedicareNetInvestIncomeTaxTable[[#This Row],[Tax Year]] = EstimateInputTaxYearCell),
    (MedicareNetInvestIncomeTaxTable[[#This Row],[Status LabelId]] = EstimateInputFilingStatusCell)
)</f>
        <v>0</v>
      </c>
    </row>
    <row r="51" spans="6:10" x14ac:dyDescent="0.3">
      <c r="F51" s="6" t="s">
        <v>139</v>
      </c>
      <c r="G51" s="7">
        <v>2024</v>
      </c>
      <c r="H51" s="6">
        <v>3.7999999999999999E-2</v>
      </c>
      <c r="I51" s="28">
        <v>250000</v>
      </c>
      <c r="J51" t="b">
        <f xml:space="preserve"> AND(
    (MedicareNetInvestIncomeTaxTable[[#This Row],[Tax Year]] = EstimateInputTaxYearCell),
    (MedicareNetInvestIncomeTaxTable[[#This Row],[Status LabelId]] = EstimateInputFilingStatusCell)
)</f>
        <v>0</v>
      </c>
    </row>
    <row r="52" spans="6:10" x14ac:dyDescent="0.3">
      <c r="F52" s="6" t="s">
        <v>141</v>
      </c>
      <c r="G52" s="7">
        <v>2024</v>
      </c>
      <c r="H52" s="6">
        <v>3.7999999999999999E-2</v>
      </c>
      <c r="I52" s="28">
        <v>125000</v>
      </c>
      <c r="J52" t="b">
        <f xml:space="preserve"> AND(
    (MedicareNetInvestIncomeTaxTable[[#This Row],[Tax Year]] = EstimateInputTaxYearCell),
    (MedicareNetInvestIncomeTaxTable[[#This Row],[Status LabelId]] = EstimateInputFilingStatusCell)
)</f>
        <v>0</v>
      </c>
    </row>
    <row r="53" spans="6:10" x14ac:dyDescent="0.3">
      <c r="F53" s="6" t="s">
        <v>142</v>
      </c>
      <c r="G53" s="7">
        <v>2024</v>
      </c>
      <c r="H53" s="6">
        <v>3.7999999999999999E-2</v>
      </c>
      <c r="I53" s="28">
        <v>200000</v>
      </c>
      <c r="J53" t="b">
        <f xml:space="preserve"> AND(
    (MedicareNetInvestIncomeTaxTable[[#This Row],[Tax Year]] = EstimateInputTaxYearCell),
    (MedicareNetInvestIncomeTaxTable[[#This Row],[Status LabelId]] = EstimateInputFilingStatusCell)
)</f>
        <v>0</v>
      </c>
    </row>
    <row r="54" spans="6:10" x14ac:dyDescent="0.3">
      <c r="F54" s="6"/>
      <c r="G54" s="7"/>
      <c r="H54" s="6"/>
      <c r="I54" s="1"/>
      <c r="J54" t="b">
        <f xml:space="preserve"> AND(
    (MedicareNetInvestIncomeTaxTable[[#This Row],[Tax Year]] = EstimateInputTaxYearCell),
    (MedicareNetInvestIncomeTaxTable[[#This Row],[Status LabelId]] = EstimateInputFilingStatusCell)
)</f>
        <v>0</v>
      </c>
    </row>
    <row r="55" spans="6:10" x14ac:dyDescent="0.3">
      <c r="F55" s="6" t="s">
        <v>23</v>
      </c>
      <c r="G55" s="7">
        <v>2025</v>
      </c>
      <c r="H55" s="6">
        <v>3.7999999999999999E-2</v>
      </c>
      <c r="I55" s="28">
        <v>200000</v>
      </c>
      <c r="J55" t="b">
        <f xml:space="preserve"> AND(
    (MedicareNetInvestIncomeTaxTable[[#This Row],[Tax Year]] = EstimateInputTaxYearCell),
    (MedicareNetInvestIncomeTaxTable[[#This Row],[Status LabelId]] = EstimateInputFilingStatusCell)
)</f>
        <v>1</v>
      </c>
    </row>
    <row r="56" spans="6:10" x14ac:dyDescent="0.3">
      <c r="F56" s="6" t="s">
        <v>139</v>
      </c>
      <c r="G56" s="7">
        <v>2025</v>
      </c>
      <c r="H56" s="6">
        <v>3.7999999999999999E-2</v>
      </c>
      <c r="I56" s="28">
        <v>250000</v>
      </c>
      <c r="J56" t="b">
        <f xml:space="preserve"> AND(
    (MedicareNetInvestIncomeTaxTable[[#This Row],[Tax Year]] = EstimateInputTaxYearCell),
    (MedicareNetInvestIncomeTaxTable[[#This Row],[Status LabelId]] = EstimateInputFilingStatusCell)
)</f>
        <v>0</v>
      </c>
    </row>
    <row r="57" spans="6:10" x14ac:dyDescent="0.3">
      <c r="F57" s="6" t="s">
        <v>141</v>
      </c>
      <c r="G57" s="7">
        <v>2025</v>
      </c>
      <c r="H57" s="6">
        <v>3.7999999999999999E-2</v>
      </c>
      <c r="I57" s="28">
        <v>125000</v>
      </c>
      <c r="J57" t="b">
        <f xml:space="preserve"> AND(
    (MedicareNetInvestIncomeTaxTable[[#This Row],[Tax Year]] = EstimateInputTaxYearCell),
    (MedicareNetInvestIncomeTaxTable[[#This Row],[Status LabelId]] = EstimateInputFilingStatusCell)
)</f>
        <v>0</v>
      </c>
    </row>
    <row r="58" spans="6:10" x14ac:dyDescent="0.3">
      <c r="F58" s="6" t="s">
        <v>142</v>
      </c>
      <c r="G58" s="7">
        <v>2025</v>
      </c>
      <c r="H58" s="6">
        <v>3.7999999999999999E-2</v>
      </c>
      <c r="I58" s="28">
        <v>200000</v>
      </c>
      <c r="J58" t="b">
        <f xml:space="preserve"> AND(
    (MedicareNetInvestIncomeTaxTable[[#This Row],[Tax Year]] = EstimateInputTaxYearCell),
    (MedicareNetInvestIncomeTaxTable[[#This Row],[Status LabelId]] = EstimateInputFilingStatusCell)
)</f>
        <v>0</v>
      </c>
    </row>
    <row r="59" spans="6:10" x14ac:dyDescent="0.3">
      <c r="F59" s="6"/>
      <c r="G59" s="7"/>
      <c r="H59" s="6"/>
      <c r="I59" s="1"/>
      <c r="J59" t="b">
        <f xml:space="preserve"> AND(
    (MedicareNetInvestIncomeTaxTable[[#This Row],[Tax Year]] = EstimateInputTaxYearCell),
    (MedicareNetInvestIncomeTaxTable[[#This Row],[Status LabelId]] = EstimateInputFilingStatusCell)
)</f>
        <v>0</v>
      </c>
    </row>
    <row r="60" spans="6:10" x14ac:dyDescent="0.3">
      <c r="F60" s="6" t="s">
        <v>23</v>
      </c>
      <c r="G60" s="7">
        <v>2026</v>
      </c>
      <c r="H60" s="6">
        <v>3.7999999999999999E-2</v>
      </c>
      <c r="I60" s="1">
        <v>200000</v>
      </c>
      <c r="J60" t="b">
        <f xml:space="preserve"> AND(
    (MedicareNetInvestIncomeTaxTable[[#This Row],[Tax Year]] = EstimateInputTaxYearCell),
    (MedicareNetInvestIncomeTaxTable[[#This Row],[Status LabelId]] = EstimateInputFilingStatusCell)
)</f>
        <v>0</v>
      </c>
    </row>
    <row r="61" spans="6:10" x14ac:dyDescent="0.3">
      <c r="F61" s="6" t="s">
        <v>139</v>
      </c>
      <c r="G61" s="7">
        <v>2026</v>
      </c>
      <c r="H61" s="6">
        <v>3.7999999999999999E-2</v>
      </c>
      <c r="I61" s="1">
        <v>250000</v>
      </c>
      <c r="J61" t="b">
        <f xml:space="preserve"> AND(
    (MedicareNetInvestIncomeTaxTable[[#This Row],[Tax Year]] = EstimateInputTaxYearCell),
    (MedicareNetInvestIncomeTaxTable[[#This Row],[Status LabelId]] = EstimateInputFilingStatusCell)
)</f>
        <v>0</v>
      </c>
    </row>
    <row r="62" spans="6:10" x14ac:dyDescent="0.3">
      <c r="F62" s="6" t="s">
        <v>141</v>
      </c>
      <c r="G62" s="7">
        <v>2026</v>
      </c>
      <c r="H62" s="6">
        <v>3.7999999999999999E-2</v>
      </c>
      <c r="I62" s="1">
        <v>125000</v>
      </c>
      <c r="J62" t="b">
        <f xml:space="preserve"> AND(
    (MedicareNetInvestIncomeTaxTable[[#This Row],[Tax Year]] = EstimateInputTaxYearCell),
    (MedicareNetInvestIncomeTaxTable[[#This Row],[Status LabelId]] = EstimateInputFilingStatusCell)
)</f>
        <v>0</v>
      </c>
    </row>
    <row r="63" spans="6:10" x14ac:dyDescent="0.3">
      <c r="F63" s="6" t="s">
        <v>142</v>
      </c>
      <c r="G63" s="7">
        <v>2026</v>
      </c>
      <c r="H63" s="6">
        <v>3.7999999999999999E-2</v>
      </c>
      <c r="I63" s="1">
        <v>200000</v>
      </c>
      <c r="J63" t="b">
        <f xml:space="preserve"> AND(
    (MedicareNetInvestIncomeTaxTable[[#This Row],[Tax Year]] = EstimateInputTaxYearCell),
    (MedicareNetInvestIncomeTaxTable[[#This Row],[Status LabelId]] = EstimateInputFilingStatusCell)
)</f>
        <v>0</v>
      </c>
    </row>
    <row r="67" spans="6:11" x14ac:dyDescent="0.3">
      <c r="F67" s="27" t="str">
        <f ca="1">_xlfn.LET(
    _xlpm.HandleFormulaText, _xlfn.FORMULATEXT(H67),
    MID(_xlpm.HandleFormulaText, 2, FIND("[", _xlpm.HandleFormulaText) - 2)
)</f>
        <v>SocialSecurityTaxRateTable</v>
      </c>
      <c r="G67" s="13" t="s">
        <v>128</v>
      </c>
      <c r="H67" s="14" t="str">
        <f>SocialSecurityTaxRateTable[[#Headers],[SocialSecurity Rate]]</f>
        <v>SocialSecurity Rate</v>
      </c>
    </row>
    <row r="68" spans="6:11" x14ac:dyDescent="0.3">
      <c r="K68" s="16" t="str">
        <f xml:space="preserve"> _xlfn.LET(
    _xlpm.CountSelected, COUNTIF(SocialSecurityTaxRateTable[IsSelected], TRUE),
    IF( _xlpm.CountSelected = 1, SelectionValidLabelCell, "Error: " &amp; _xlpm.CountSelected &amp; " rows selected")
)</f>
        <v>Valid</v>
      </c>
    </row>
    <row r="69" spans="6:11" x14ac:dyDescent="0.3">
      <c r="F69" s="24" t="s">
        <v>148</v>
      </c>
      <c r="G69" s="24" t="s">
        <v>143</v>
      </c>
      <c r="H69" s="24" t="s">
        <v>151</v>
      </c>
      <c r="I69" s="24" t="s">
        <v>152</v>
      </c>
      <c r="J69" s="24" t="s">
        <v>147</v>
      </c>
      <c r="K69" s="24" t="s">
        <v>134</v>
      </c>
    </row>
    <row r="70" spans="6:11" x14ac:dyDescent="0.3">
      <c r="F70" s="6" t="s">
        <v>23</v>
      </c>
      <c r="G70" s="7">
        <v>2024</v>
      </c>
      <c r="H70" s="6">
        <v>6.2E-2</v>
      </c>
      <c r="I70" s="28">
        <v>168600</v>
      </c>
      <c r="J70" s="2">
        <v>0</v>
      </c>
      <c r="K70" t="b">
        <f xml:space="preserve"> AND(
    (SocialSecurityTaxRateTable[[#This Row],[Tax Year]] = EstimateInputTaxYearCell),
    (SocialSecurityTaxRateTable[[#This Row],[Status LabelId]] = EstimateInputFilingStatusCell)
)</f>
        <v>0</v>
      </c>
    </row>
    <row r="71" spans="6:11" x14ac:dyDescent="0.3">
      <c r="F71" s="6" t="s">
        <v>139</v>
      </c>
      <c r="G71" s="7">
        <v>2024</v>
      </c>
      <c r="H71" s="6">
        <v>6.2E-2</v>
      </c>
      <c r="I71" s="28">
        <v>168600</v>
      </c>
      <c r="J71" s="2">
        <v>0</v>
      </c>
      <c r="K71" t="b">
        <f xml:space="preserve"> AND(
    (SocialSecurityTaxRateTable[[#This Row],[Tax Year]] = EstimateInputTaxYearCell),
    (SocialSecurityTaxRateTable[[#This Row],[Status LabelId]] = EstimateInputFilingStatusCell)
)</f>
        <v>0</v>
      </c>
    </row>
    <row r="72" spans="6:11" x14ac:dyDescent="0.3">
      <c r="F72" s="6" t="s">
        <v>141</v>
      </c>
      <c r="G72" s="7">
        <v>2024</v>
      </c>
      <c r="H72" s="6">
        <v>6.2E-2</v>
      </c>
      <c r="I72" s="28">
        <v>168600</v>
      </c>
      <c r="J72" s="2">
        <v>0</v>
      </c>
      <c r="K72" t="b">
        <f xml:space="preserve"> AND(
    (SocialSecurityTaxRateTable[[#This Row],[Tax Year]] = EstimateInputTaxYearCell),
    (SocialSecurityTaxRateTable[[#This Row],[Status LabelId]] = EstimateInputFilingStatusCell)
)</f>
        <v>0</v>
      </c>
    </row>
    <row r="73" spans="6:11" x14ac:dyDescent="0.3">
      <c r="F73" s="6" t="s">
        <v>142</v>
      </c>
      <c r="G73" s="7">
        <v>2024</v>
      </c>
      <c r="H73" s="6">
        <v>6.2E-2</v>
      </c>
      <c r="I73" s="28">
        <v>168600</v>
      </c>
      <c r="J73" s="2">
        <v>0</v>
      </c>
      <c r="K73" t="b">
        <f xml:space="preserve"> AND(
    (SocialSecurityTaxRateTable[[#This Row],[Tax Year]] = EstimateInputTaxYearCell),
    (SocialSecurityTaxRateTable[[#This Row],[Status LabelId]] = EstimateInputFilingStatusCell)
)</f>
        <v>0</v>
      </c>
    </row>
    <row r="74" spans="6:11" x14ac:dyDescent="0.3">
      <c r="F74" s="6"/>
      <c r="G74" s="7"/>
      <c r="H74" s="6"/>
      <c r="I74" s="28"/>
      <c r="J74" s="2"/>
      <c r="K74" t="b">
        <f xml:space="preserve"> AND(
    (SocialSecurityTaxRateTable[[#This Row],[Tax Year]] = EstimateInputTaxYearCell),
    (SocialSecurityTaxRateTable[[#This Row],[Status LabelId]] = EstimateInputFilingStatusCell)
)</f>
        <v>0</v>
      </c>
    </row>
    <row r="75" spans="6:11" x14ac:dyDescent="0.3">
      <c r="F75" s="6" t="s">
        <v>23</v>
      </c>
      <c r="G75" s="7">
        <v>2025</v>
      </c>
      <c r="H75" s="6">
        <v>6.2E-2</v>
      </c>
      <c r="I75" s="28">
        <v>176100</v>
      </c>
      <c r="J75" s="2">
        <v>0</v>
      </c>
      <c r="K75" t="b">
        <f xml:space="preserve"> AND(
    (SocialSecurityTaxRateTable[[#This Row],[Tax Year]] = EstimateInputTaxYearCell),
    (SocialSecurityTaxRateTable[[#This Row],[Status LabelId]] = EstimateInputFilingStatusCell)
)</f>
        <v>1</v>
      </c>
    </row>
    <row r="76" spans="6:11" x14ac:dyDescent="0.3">
      <c r="F76" s="6" t="s">
        <v>139</v>
      </c>
      <c r="G76" s="7">
        <v>2025</v>
      </c>
      <c r="H76" s="6">
        <v>6.2E-2</v>
      </c>
      <c r="I76" s="28">
        <v>176100</v>
      </c>
      <c r="J76" s="2">
        <v>0</v>
      </c>
      <c r="K76" t="b">
        <f xml:space="preserve"> AND(
    (SocialSecurityTaxRateTable[[#This Row],[Tax Year]] = EstimateInputTaxYearCell),
    (SocialSecurityTaxRateTable[[#This Row],[Status LabelId]] = EstimateInputFilingStatusCell)
)</f>
        <v>0</v>
      </c>
    </row>
    <row r="77" spans="6:11" x14ac:dyDescent="0.3">
      <c r="F77" s="6" t="s">
        <v>141</v>
      </c>
      <c r="G77" s="7">
        <v>2025</v>
      </c>
      <c r="H77" s="6">
        <v>6.2E-2</v>
      </c>
      <c r="I77" s="28">
        <v>176100</v>
      </c>
      <c r="J77" s="2">
        <v>0</v>
      </c>
      <c r="K77" t="b">
        <f xml:space="preserve"> AND(
    (SocialSecurityTaxRateTable[[#This Row],[Tax Year]] = EstimateInputTaxYearCell),
    (SocialSecurityTaxRateTable[[#This Row],[Status LabelId]] = EstimateInputFilingStatusCell)
)</f>
        <v>0</v>
      </c>
    </row>
    <row r="78" spans="6:11" x14ac:dyDescent="0.3">
      <c r="F78" s="6" t="s">
        <v>142</v>
      </c>
      <c r="G78" s="7">
        <v>2025</v>
      </c>
      <c r="H78" s="6">
        <v>6.2E-2</v>
      </c>
      <c r="I78" s="28">
        <v>176100</v>
      </c>
      <c r="J78" s="2">
        <v>0</v>
      </c>
      <c r="K78" t="b">
        <f xml:space="preserve"> AND(
    (SocialSecurityTaxRateTable[[#This Row],[Tax Year]] = EstimateInputTaxYearCell),
    (SocialSecurityTaxRateTable[[#This Row],[Status LabelId]] = EstimateInputFilingStatusCell)
)</f>
        <v>0</v>
      </c>
    </row>
    <row r="79" spans="6:11" x14ac:dyDescent="0.3">
      <c r="F79" s="91"/>
      <c r="G79" s="7"/>
      <c r="H79" s="6"/>
      <c r="I79" s="28"/>
      <c r="J79" s="2"/>
      <c r="K79" t="b">
        <f xml:space="preserve"> AND(
    (SocialSecurityTaxRateTable[[#This Row],[Tax Year]] = EstimateInputTaxYearCell),
    (SocialSecurityTaxRateTable[[#This Row],[Status LabelId]] = EstimateInputFilingStatusCell)
)</f>
        <v>0</v>
      </c>
    </row>
    <row r="80" spans="6:11" x14ac:dyDescent="0.3">
      <c r="F80" s="91" t="s">
        <v>23</v>
      </c>
      <c r="G80" s="7">
        <v>2026</v>
      </c>
      <c r="H80" s="6">
        <v>6.2E-2</v>
      </c>
      <c r="I80" s="28">
        <v>184500</v>
      </c>
      <c r="J80" s="2">
        <v>0</v>
      </c>
      <c r="K80" t="b">
        <f xml:space="preserve"> AND(
    (SocialSecurityTaxRateTable[[#This Row],[Tax Year]] = EstimateInputTaxYearCell),
    (SocialSecurityTaxRateTable[[#This Row],[Status LabelId]] = EstimateInputFilingStatusCell)
)</f>
        <v>0</v>
      </c>
    </row>
    <row r="81" spans="6:11" x14ac:dyDescent="0.3">
      <c r="F81" s="91" t="s">
        <v>139</v>
      </c>
      <c r="G81" s="7">
        <v>2026</v>
      </c>
      <c r="H81" s="6">
        <v>6.2E-2</v>
      </c>
      <c r="I81" s="28">
        <v>184500</v>
      </c>
      <c r="J81" s="2">
        <v>0</v>
      </c>
      <c r="K81" t="b">
        <f xml:space="preserve"> AND(
    (SocialSecurityTaxRateTable[[#This Row],[Tax Year]] = EstimateInputTaxYearCell),
    (SocialSecurityTaxRateTable[[#This Row],[Status LabelId]] = EstimateInputFilingStatusCell)
)</f>
        <v>0</v>
      </c>
    </row>
    <row r="82" spans="6:11" x14ac:dyDescent="0.3">
      <c r="F82" s="91" t="s">
        <v>141</v>
      </c>
      <c r="G82" s="7">
        <v>2026</v>
      </c>
      <c r="H82" s="6">
        <v>6.2E-2</v>
      </c>
      <c r="I82" s="28">
        <v>184500</v>
      </c>
      <c r="J82" s="2">
        <v>0</v>
      </c>
      <c r="K82" t="b">
        <f xml:space="preserve"> AND(
    (SocialSecurityTaxRateTable[[#This Row],[Tax Year]] = EstimateInputTaxYearCell),
    (SocialSecurityTaxRateTable[[#This Row],[Status LabelId]] = EstimateInputFilingStatusCell)
)</f>
        <v>0</v>
      </c>
    </row>
    <row r="83" spans="6:11" x14ac:dyDescent="0.3">
      <c r="F83" s="91" t="s">
        <v>142</v>
      </c>
      <c r="G83" s="7">
        <v>2026</v>
      </c>
      <c r="H83" s="6">
        <v>6.2E-2</v>
      </c>
      <c r="I83" s="28">
        <v>184500</v>
      </c>
      <c r="J83" s="2">
        <v>0</v>
      </c>
      <c r="K83" t="b">
        <f xml:space="preserve"> AND(
    (SocialSecurityTaxRateTable[[#This Row],[Tax Year]] = EstimateInputTaxYearCell),
    (SocialSecurityTaxRateTable[[#This Row],[Status LabelId]] = EstimateInputFilingStatusCell)
)</f>
        <v>0</v>
      </c>
    </row>
    <row r="87" spans="6:11" x14ac:dyDescent="0.3">
      <c r="F87" s="27" t="str">
        <f ca="1">_xlfn.LET(
    _xlpm.HandleFormulaText, _xlfn.FORMULATEXT(H87),
    MID(_xlpm.HandleFormulaText, 2, FIND("[", _xlpm.HandleFormulaText) - 2)
)</f>
        <v>StandardDeductionAmountTable</v>
      </c>
      <c r="G87" s="13" t="s">
        <v>128</v>
      </c>
      <c r="H87" s="14" t="str">
        <f>StandardDeductionAmountTable[[#Headers],[Standard 
Deduction Amount]]</f>
        <v>Standard 
Deduction Amount</v>
      </c>
    </row>
    <row r="88" spans="6:11" x14ac:dyDescent="0.3">
      <c r="I88" s="16" t="str">
        <f xml:space="preserve"> _xlfn.LET(
    _xlpm.CountSelected, COUNTIF(StandardDeductionAmountTable[IsSelected], TRUE),
    IF( _xlpm.CountSelected = 1, SelectionValidLabelCell, "Error: " &amp; _xlpm.CountSelected &amp; " rows selected")
)</f>
        <v>Valid</v>
      </c>
    </row>
    <row r="89" spans="6:11" ht="27.6" x14ac:dyDescent="0.3">
      <c r="F89" s="44" t="s">
        <v>148</v>
      </c>
      <c r="G89" s="44" t="s">
        <v>143</v>
      </c>
      <c r="H89" s="45" t="s">
        <v>153</v>
      </c>
      <c r="I89" s="44" t="s">
        <v>134</v>
      </c>
    </row>
    <row r="90" spans="6:11" x14ac:dyDescent="0.3">
      <c r="F90" s="6" t="s">
        <v>23</v>
      </c>
      <c r="G90" s="7">
        <v>2024</v>
      </c>
      <c r="H90" s="28">
        <v>14600</v>
      </c>
      <c r="I90" t="b">
        <f xml:space="preserve"> AND(
    (StandardDeductionAmountTable[[#This Row],[Tax Year]] = EstimateInputTaxYearCell),
    (StandardDeductionAmountTable[[#This Row],[Status LabelId]] = EstimateInputFilingStatusCell)
)</f>
        <v>0</v>
      </c>
    </row>
    <row r="91" spans="6:11" x14ac:dyDescent="0.3">
      <c r="F91" s="6" t="s">
        <v>139</v>
      </c>
      <c r="G91" s="7">
        <v>2024</v>
      </c>
      <c r="H91" s="28">
        <v>29200</v>
      </c>
      <c r="I91" t="b">
        <f xml:space="preserve"> AND(
    (StandardDeductionAmountTable[[#This Row],[Tax Year]] = EstimateInputTaxYearCell),
    (StandardDeductionAmountTable[[#This Row],[Status LabelId]] = EstimateInputFilingStatusCell)
)</f>
        <v>0</v>
      </c>
    </row>
    <row r="92" spans="6:11" x14ac:dyDescent="0.3">
      <c r="F92" s="6" t="s">
        <v>141</v>
      </c>
      <c r="G92" s="7">
        <v>2024</v>
      </c>
      <c r="H92" s="28">
        <v>14600</v>
      </c>
      <c r="I92" t="b">
        <f xml:space="preserve"> AND(
    (StandardDeductionAmountTable[[#This Row],[Tax Year]] = EstimateInputTaxYearCell),
    (StandardDeductionAmountTable[[#This Row],[Status LabelId]] = EstimateInputFilingStatusCell)
)</f>
        <v>0</v>
      </c>
    </row>
    <row r="93" spans="6:11" x14ac:dyDescent="0.3">
      <c r="F93" s="6" t="s">
        <v>142</v>
      </c>
      <c r="G93" s="7">
        <v>2024</v>
      </c>
      <c r="H93" s="28">
        <v>21900</v>
      </c>
      <c r="I93" t="b">
        <f xml:space="preserve"> AND(
    (StandardDeductionAmountTable[[#This Row],[Tax Year]] = EstimateInputTaxYearCell),
    (StandardDeductionAmountTable[[#This Row],[Status LabelId]] = EstimateInputFilingStatusCell)
)</f>
        <v>0</v>
      </c>
    </row>
    <row r="94" spans="6:11" x14ac:dyDescent="0.3">
      <c r="F94" s="6"/>
      <c r="G94" s="7"/>
      <c r="H94" s="28"/>
      <c r="I94" t="b">
        <f xml:space="preserve"> AND(
    (StandardDeductionAmountTable[[#This Row],[Tax Year]] = EstimateInputTaxYearCell),
    (StandardDeductionAmountTable[[#This Row],[Status LabelId]] = EstimateInputFilingStatusCell)
)</f>
        <v>0</v>
      </c>
    </row>
    <row r="95" spans="6:11" x14ac:dyDescent="0.3">
      <c r="F95" s="6" t="s">
        <v>23</v>
      </c>
      <c r="G95" s="7">
        <v>2025</v>
      </c>
      <c r="H95" s="28">
        <v>15750</v>
      </c>
      <c r="I95" t="b">
        <f xml:space="preserve"> AND(
    (StandardDeductionAmountTable[[#This Row],[Tax Year]] = EstimateInputTaxYearCell),
    (StandardDeductionAmountTable[[#This Row],[Status LabelId]] = EstimateInputFilingStatusCell)
)</f>
        <v>1</v>
      </c>
    </row>
    <row r="96" spans="6:11" x14ac:dyDescent="0.3">
      <c r="F96" s="6" t="s">
        <v>139</v>
      </c>
      <c r="G96" s="7">
        <v>2025</v>
      </c>
      <c r="H96" s="28">
        <v>31500</v>
      </c>
      <c r="I96" t="b">
        <f xml:space="preserve"> AND(
    (StandardDeductionAmountTable[[#This Row],[Tax Year]] = EstimateInputTaxYearCell),
    (StandardDeductionAmountTable[[#This Row],[Status LabelId]] = EstimateInputFilingStatusCell)
)</f>
        <v>0</v>
      </c>
    </row>
    <row r="97" spans="6:12" x14ac:dyDescent="0.3">
      <c r="F97" s="6" t="s">
        <v>141</v>
      </c>
      <c r="G97" s="7">
        <v>2025</v>
      </c>
      <c r="H97" s="28">
        <v>15750</v>
      </c>
      <c r="I97" t="b">
        <f xml:space="preserve"> AND(
    (StandardDeductionAmountTable[[#This Row],[Tax Year]] = EstimateInputTaxYearCell),
    (StandardDeductionAmountTable[[#This Row],[Status LabelId]] = EstimateInputFilingStatusCell)
)</f>
        <v>0</v>
      </c>
    </row>
    <row r="98" spans="6:12" x14ac:dyDescent="0.3">
      <c r="F98" s="6" t="s">
        <v>142</v>
      </c>
      <c r="G98" s="7">
        <v>2025</v>
      </c>
      <c r="H98" s="28">
        <v>23625</v>
      </c>
      <c r="I98" t="b">
        <f xml:space="preserve"> AND(
    (StandardDeductionAmountTable[[#This Row],[Tax Year]] = EstimateInputTaxYearCell),
    (StandardDeductionAmountTable[[#This Row],[Status LabelId]] = EstimateInputFilingStatusCell)
)</f>
        <v>0</v>
      </c>
    </row>
    <row r="99" spans="6:12" x14ac:dyDescent="0.3">
      <c r="F99" s="91"/>
      <c r="G99" s="7"/>
      <c r="H99" s="28"/>
      <c r="I99" t="b">
        <f xml:space="preserve"> AND(
    (StandardDeductionAmountTable[[#This Row],[Tax Year]] = EstimateInputTaxYearCell),
    (StandardDeductionAmountTable[[#This Row],[Status LabelId]] = EstimateInputFilingStatusCell)
)</f>
        <v>0</v>
      </c>
    </row>
    <row r="100" spans="6:12" x14ac:dyDescent="0.3">
      <c r="F100" s="91" t="s">
        <v>23</v>
      </c>
      <c r="G100" s="7">
        <v>2026</v>
      </c>
      <c r="H100" s="28">
        <v>16100</v>
      </c>
      <c r="I100" t="b">
        <f xml:space="preserve"> AND(
    (StandardDeductionAmountTable[[#This Row],[Tax Year]] = EstimateInputTaxYearCell),
    (StandardDeductionAmountTable[[#This Row],[Status LabelId]] = EstimateInputFilingStatusCell)
)</f>
        <v>0</v>
      </c>
    </row>
    <row r="101" spans="6:12" x14ac:dyDescent="0.3">
      <c r="F101" s="91" t="s">
        <v>139</v>
      </c>
      <c r="G101" s="7">
        <v>2026</v>
      </c>
      <c r="H101" s="28">
        <v>32200</v>
      </c>
      <c r="I101" t="b">
        <f xml:space="preserve"> AND(
    (StandardDeductionAmountTable[[#This Row],[Tax Year]] = EstimateInputTaxYearCell),
    (StandardDeductionAmountTable[[#This Row],[Status LabelId]] = EstimateInputFilingStatusCell)
)</f>
        <v>0</v>
      </c>
    </row>
    <row r="102" spans="6:12" x14ac:dyDescent="0.3">
      <c r="F102" s="91" t="s">
        <v>141</v>
      </c>
      <c r="G102" s="7">
        <v>2026</v>
      </c>
      <c r="H102" s="28">
        <v>16100</v>
      </c>
      <c r="I102" t="b">
        <f xml:space="preserve"> AND(
    (StandardDeductionAmountTable[[#This Row],[Tax Year]] = EstimateInputTaxYearCell),
    (StandardDeductionAmountTable[[#This Row],[Status LabelId]] = EstimateInputFilingStatusCell)
)</f>
        <v>0</v>
      </c>
    </row>
    <row r="103" spans="6:12" x14ac:dyDescent="0.3">
      <c r="F103" s="91" t="s">
        <v>142</v>
      </c>
      <c r="G103" s="7">
        <v>2026</v>
      </c>
      <c r="H103" s="28">
        <v>24150</v>
      </c>
      <c r="I103" t="b">
        <f xml:space="preserve"> AND(
    (StandardDeductionAmountTable[[#This Row],[Tax Year]] = EstimateInputTaxYearCell),
    (StandardDeductionAmountTable[[#This Row],[Status LabelId]] = EstimateInputFilingStatusCell)
)</f>
        <v>0</v>
      </c>
    </row>
    <row r="107" spans="6:12" x14ac:dyDescent="0.3">
      <c r="F107" s="27" t="str">
        <f ca="1">_xlfn.LET(
    _xlpm.HandleFormulaText, _xlfn.FORMULATEXT(H107),
    MID(_xlpm.HandleFormulaText, 2, FIND("[", _xlpm.HandleFormulaText) - 2)
)</f>
        <v>FederalIncomeTaxRateTable</v>
      </c>
      <c r="G107" s="13" t="s">
        <v>128</v>
      </c>
      <c r="H107" s="14" t="str">
        <f>FederalIncomeTaxRateTable[[#Headers],[Federal Tax Rate]]</f>
        <v>Federal Tax Rate</v>
      </c>
    </row>
    <row r="108" spans="6:12" x14ac:dyDescent="0.3">
      <c r="L108" s="16" t="str">
        <f xml:space="preserve"> _xlfn.LET(
    _xlpm.CountSelected, COUNTIF(FederalIncomeTaxRateTable[IsSelected], TRUE),
    IF( _xlpm.CountSelected = 1, SelectionValidLabelCell, "Error: " &amp; _xlpm.CountSelected &amp; " rows selected")
)</f>
        <v>Valid</v>
      </c>
    </row>
    <row r="109" spans="6:12" x14ac:dyDescent="0.3">
      <c r="F109" s="24" t="s">
        <v>148</v>
      </c>
      <c r="G109" s="24" t="s">
        <v>143</v>
      </c>
      <c r="H109" s="24" t="s">
        <v>154</v>
      </c>
      <c r="I109" s="24" t="s">
        <v>145</v>
      </c>
      <c r="J109" s="24" t="s">
        <v>146</v>
      </c>
      <c r="K109" s="24" t="s">
        <v>147</v>
      </c>
      <c r="L109" s="24" t="s">
        <v>134</v>
      </c>
    </row>
    <row r="110" spans="6:12" x14ac:dyDescent="0.3">
      <c r="F110" s="6" t="s">
        <v>23</v>
      </c>
      <c r="G110" s="7">
        <v>2024</v>
      </c>
      <c r="H110" s="6">
        <v>0.1</v>
      </c>
      <c r="I110" s="28">
        <v>0</v>
      </c>
      <c r="J110" s="28">
        <v>11600</v>
      </c>
      <c r="K110" s="2">
        <v>0</v>
      </c>
      <c r="L110"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11" spans="6:12" x14ac:dyDescent="0.3">
      <c r="F111" s="6" t="s">
        <v>23</v>
      </c>
      <c r="G111" s="7">
        <v>2024</v>
      </c>
      <c r="H111" s="6">
        <v>0.12</v>
      </c>
      <c r="I111" s="28">
        <f t="shared" ref="I111:I116" si="0">$J110</f>
        <v>11600</v>
      </c>
      <c r="J111" s="28">
        <v>47150</v>
      </c>
      <c r="K111" s="2">
        <f xml:space="preserve"> $K110 + ($J110 - $I110) * $H110</f>
        <v>1160</v>
      </c>
      <c r="L111"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12" spans="6:12" x14ac:dyDescent="0.3">
      <c r="F112" s="6" t="s">
        <v>23</v>
      </c>
      <c r="G112" s="7">
        <v>2024</v>
      </c>
      <c r="H112" s="6">
        <v>0.22</v>
      </c>
      <c r="I112" s="28">
        <f t="shared" si="0"/>
        <v>47150</v>
      </c>
      <c r="J112" s="28">
        <v>100525</v>
      </c>
      <c r="K112" s="2">
        <f xml:space="preserve"> $K111 + ($J111 - $I111) * $H111</f>
        <v>5426</v>
      </c>
      <c r="L112"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13" spans="6:12" x14ac:dyDescent="0.3">
      <c r="F113" s="6" t="s">
        <v>23</v>
      </c>
      <c r="G113" s="7">
        <v>2024</v>
      </c>
      <c r="H113" s="6">
        <v>0.24</v>
      </c>
      <c r="I113" s="28">
        <f t="shared" si="0"/>
        <v>100525</v>
      </c>
      <c r="J113" s="28">
        <v>191950</v>
      </c>
      <c r="K113" s="2">
        <f t="shared" ref="K113:K116" si="1" xml:space="preserve"> $K112 + ($J112 - $I112) * $H112</f>
        <v>17168.5</v>
      </c>
      <c r="L113"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14" spans="6:12" x14ac:dyDescent="0.3">
      <c r="F114" s="6" t="s">
        <v>23</v>
      </c>
      <c r="G114" s="7">
        <v>2024</v>
      </c>
      <c r="H114" s="6">
        <v>0.32</v>
      </c>
      <c r="I114" s="28">
        <f t="shared" si="0"/>
        <v>191950</v>
      </c>
      <c r="J114" s="28">
        <v>243725</v>
      </c>
      <c r="K114" s="2">
        <f t="shared" si="1"/>
        <v>39110.5</v>
      </c>
      <c r="L114"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15" spans="6:12" x14ac:dyDescent="0.3">
      <c r="F115" s="6" t="s">
        <v>23</v>
      </c>
      <c r="G115" s="7">
        <v>2024</v>
      </c>
      <c r="H115" s="6">
        <v>0.35</v>
      </c>
      <c r="I115" s="28">
        <f t="shared" si="0"/>
        <v>243725</v>
      </c>
      <c r="J115" s="28">
        <v>609350</v>
      </c>
      <c r="K115" s="2">
        <f t="shared" si="1"/>
        <v>55678.5</v>
      </c>
      <c r="L115"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16" spans="6:12" x14ac:dyDescent="0.3">
      <c r="F116" s="6" t="s">
        <v>23</v>
      </c>
      <c r="G116" s="7">
        <v>2024</v>
      </c>
      <c r="H116" s="6">
        <v>0.37</v>
      </c>
      <c r="I116" s="28">
        <f t="shared" si="0"/>
        <v>609350</v>
      </c>
      <c r="J116" s="28">
        <f>MaxIncomeCell</f>
        <v>10000000</v>
      </c>
      <c r="K116" s="2">
        <f t="shared" si="1"/>
        <v>183647.25</v>
      </c>
      <c r="L116"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17" spans="6:12" x14ac:dyDescent="0.3">
      <c r="F117" s="6" t="s">
        <v>139</v>
      </c>
      <c r="G117" s="7">
        <v>2024</v>
      </c>
      <c r="H117" s="6">
        <v>0.1</v>
      </c>
      <c r="I117" s="28">
        <v>0</v>
      </c>
      <c r="J117" s="28">
        <v>23200</v>
      </c>
      <c r="K117" s="2">
        <v>0</v>
      </c>
      <c r="L117"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18" spans="6:12" x14ac:dyDescent="0.3">
      <c r="F118" s="6" t="s">
        <v>139</v>
      </c>
      <c r="G118" s="7">
        <v>2024</v>
      </c>
      <c r="H118" s="6">
        <v>0.12</v>
      </c>
      <c r="I118" s="28">
        <f t="shared" ref="I118:I123" si="2">$J117</f>
        <v>23200</v>
      </c>
      <c r="J118" s="28">
        <v>94300</v>
      </c>
      <c r="K118" s="2">
        <f xml:space="preserve"> $K117 + ($J117 - $I117) * $H117</f>
        <v>2320</v>
      </c>
      <c r="L118"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19" spans="6:12" x14ac:dyDescent="0.3">
      <c r="F119" s="6" t="s">
        <v>139</v>
      </c>
      <c r="G119" s="7">
        <v>2024</v>
      </c>
      <c r="H119" s="6">
        <v>0.22</v>
      </c>
      <c r="I119" s="28">
        <f t="shared" si="2"/>
        <v>94300</v>
      </c>
      <c r="J119" s="28">
        <v>201050</v>
      </c>
      <c r="K119" s="2">
        <f xml:space="preserve"> $K118 + ($J118 - $I118) * $H118</f>
        <v>10852</v>
      </c>
      <c r="L119"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20" spans="6:12" x14ac:dyDescent="0.3">
      <c r="F120" s="6" t="s">
        <v>139</v>
      </c>
      <c r="G120" s="7">
        <v>2024</v>
      </c>
      <c r="H120" s="6">
        <v>0.24</v>
      </c>
      <c r="I120" s="28">
        <f t="shared" si="2"/>
        <v>201050</v>
      </c>
      <c r="J120" s="28">
        <v>383900</v>
      </c>
      <c r="K120" s="2">
        <f t="shared" ref="K120:K123" si="3" xml:space="preserve"> $K119 + ($J119 - $I119) * $H119</f>
        <v>34337</v>
      </c>
      <c r="L120"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21" spans="6:12" x14ac:dyDescent="0.3">
      <c r="F121" s="6" t="s">
        <v>139</v>
      </c>
      <c r="G121" s="7">
        <v>2024</v>
      </c>
      <c r="H121" s="6">
        <v>0.32</v>
      </c>
      <c r="I121" s="28">
        <f t="shared" si="2"/>
        <v>383900</v>
      </c>
      <c r="J121" s="28">
        <v>487450</v>
      </c>
      <c r="K121" s="2">
        <f t="shared" si="3"/>
        <v>78221</v>
      </c>
      <c r="L121"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22" spans="6:12" x14ac:dyDescent="0.3">
      <c r="F122" s="6" t="s">
        <v>139</v>
      </c>
      <c r="G122" s="7">
        <v>2024</v>
      </c>
      <c r="H122" s="6">
        <v>0.35</v>
      </c>
      <c r="I122" s="28">
        <f t="shared" si="2"/>
        <v>487450</v>
      </c>
      <c r="J122" s="28">
        <v>731200</v>
      </c>
      <c r="K122" s="2">
        <f t="shared" si="3"/>
        <v>111357</v>
      </c>
      <c r="L122"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23" spans="6:12" x14ac:dyDescent="0.3">
      <c r="F123" s="6" t="s">
        <v>139</v>
      </c>
      <c r="G123" s="7">
        <v>2024</v>
      </c>
      <c r="H123" s="6">
        <v>0.37</v>
      </c>
      <c r="I123" s="28">
        <f t="shared" si="2"/>
        <v>731200</v>
      </c>
      <c r="J123" s="28">
        <f>MaxIncomeCell</f>
        <v>10000000</v>
      </c>
      <c r="K123" s="2">
        <f t="shared" si="3"/>
        <v>196669.5</v>
      </c>
      <c r="L123"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24" spans="6:12" x14ac:dyDescent="0.3">
      <c r="F124" s="6" t="s">
        <v>141</v>
      </c>
      <c r="G124" s="7">
        <v>2024</v>
      </c>
      <c r="H124" s="6">
        <v>0.1</v>
      </c>
      <c r="I124" s="28">
        <v>0</v>
      </c>
      <c r="J124" s="28">
        <v>11600</v>
      </c>
      <c r="K124" s="2">
        <v>0</v>
      </c>
      <c r="L124"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25" spans="6:12" x14ac:dyDescent="0.3">
      <c r="F125" s="6" t="s">
        <v>141</v>
      </c>
      <c r="G125" s="7">
        <v>2024</v>
      </c>
      <c r="H125" s="6">
        <v>0.12</v>
      </c>
      <c r="I125" s="28">
        <f t="shared" ref="I125:I130" si="4">$J124</f>
        <v>11600</v>
      </c>
      <c r="J125" s="28">
        <v>47150</v>
      </c>
      <c r="K125" s="2">
        <f xml:space="preserve"> $K124 + ($J124 - $I124) * $H124</f>
        <v>1160</v>
      </c>
      <c r="L125"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26" spans="6:12" x14ac:dyDescent="0.3">
      <c r="F126" s="6" t="s">
        <v>141</v>
      </c>
      <c r="G126" s="7">
        <v>2024</v>
      </c>
      <c r="H126" s="6">
        <v>0.22</v>
      </c>
      <c r="I126" s="28">
        <f t="shared" si="4"/>
        <v>47150</v>
      </c>
      <c r="J126" s="28">
        <v>100525</v>
      </c>
      <c r="K126" s="2">
        <f xml:space="preserve"> $K125 + ($J125 - $I125) * $H125</f>
        <v>5426</v>
      </c>
      <c r="L126"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27" spans="6:12" x14ac:dyDescent="0.3">
      <c r="F127" s="6" t="s">
        <v>141</v>
      </c>
      <c r="G127" s="7">
        <v>2024</v>
      </c>
      <c r="H127" s="6">
        <v>0.24</v>
      </c>
      <c r="I127" s="28">
        <f t="shared" si="4"/>
        <v>100525</v>
      </c>
      <c r="J127" s="28">
        <v>191950</v>
      </c>
      <c r="K127" s="2">
        <f t="shared" ref="K127:K130" si="5" xml:space="preserve"> $K126 + ($J126 - $I126) * $H126</f>
        <v>17168.5</v>
      </c>
      <c r="L127"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28" spans="6:12" x14ac:dyDescent="0.3">
      <c r="F128" s="6" t="s">
        <v>141</v>
      </c>
      <c r="G128" s="7">
        <v>2024</v>
      </c>
      <c r="H128" s="6">
        <v>0.32</v>
      </c>
      <c r="I128" s="28">
        <f t="shared" si="4"/>
        <v>191950</v>
      </c>
      <c r="J128" s="28">
        <v>243725</v>
      </c>
      <c r="K128" s="2">
        <f t="shared" si="5"/>
        <v>39110.5</v>
      </c>
      <c r="L128"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29" spans="6:12" x14ac:dyDescent="0.3">
      <c r="F129" s="6" t="s">
        <v>141</v>
      </c>
      <c r="G129" s="7">
        <v>2024</v>
      </c>
      <c r="H129" s="6">
        <v>0.35</v>
      </c>
      <c r="I129" s="28">
        <f t="shared" si="4"/>
        <v>243725</v>
      </c>
      <c r="J129" s="28">
        <v>365600</v>
      </c>
      <c r="K129" s="2">
        <f t="shared" si="5"/>
        <v>55678.5</v>
      </c>
      <c r="L129"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30" spans="6:12" x14ac:dyDescent="0.3">
      <c r="F130" s="6" t="s">
        <v>141</v>
      </c>
      <c r="G130" s="7">
        <v>2024</v>
      </c>
      <c r="H130" s="6">
        <v>0.37</v>
      </c>
      <c r="I130" s="28">
        <f t="shared" si="4"/>
        <v>365600</v>
      </c>
      <c r="J130" s="28">
        <f>MaxIncomeCell</f>
        <v>10000000</v>
      </c>
      <c r="K130" s="2">
        <f t="shared" si="5"/>
        <v>98334.75</v>
      </c>
      <c r="L130"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31" spans="6:12" x14ac:dyDescent="0.3">
      <c r="F131" s="6" t="s">
        <v>142</v>
      </c>
      <c r="G131" s="7">
        <v>2024</v>
      </c>
      <c r="H131" s="6">
        <v>0.1</v>
      </c>
      <c r="I131" s="28">
        <v>0</v>
      </c>
      <c r="J131" s="28">
        <v>16550</v>
      </c>
      <c r="K131" s="2">
        <v>0</v>
      </c>
      <c r="L131"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32" spans="6:12" x14ac:dyDescent="0.3">
      <c r="F132" s="6" t="s">
        <v>142</v>
      </c>
      <c r="G132" s="7">
        <v>2024</v>
      </c>
      <c r="H132" s="6">
        <v>0.12</v>
      </c>
      <c r="I132" s="28">
        <f t="shared" ref="I132:I137" si="6">$J131</f>
        <v>16550</v>
      </c>
      <c r="J132" s="28">
        <v>63100</v>
      </c>
      <c r="K132" s="2">
        <f xml:space="preserve"> $K131 + ($J131 - $I131) * $H131</f>
        <v>1655</v>
      </c>
      <c r="L132"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33" spans="6:12" x14ac:dyDescent="0.3">
      <c r="F133" s="6" t="s">
        <v>142</v>
      </c>
      <c r="G133" s="7">
        <v>2024</v>
      </c>
      <c r="H133" s="6">
        <v>0.22</v>
      </c>
      <c r="I133" s="28">
        <f t="shared" si="6"/>
        <v>63100</v>
      </c>
      <c r="J133" s="28">
        <v>100500</v>
      </c>
      <c r="K133" s="2">
        <f xml:space="preserve"> $K132 + ($J132 - $I132) * $H132</f>
        <v>7241</v>
      </c>
      <c r="L133"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34" spans="6:12" x14ac:dyDescent="0.3">
      <c r="F134" s="6" t="s">
        <v>142</v>
      </c>
      <c r="G134" s="7">
        <v>2024</v>
      </c>
      <c r="H134" s="6">
        <v>0.24</v>
      </c>
      <c r="I134" s="28">
        <f t="shared" si="6"/>
        <v>100500</v>
      </c>
      <c r="J134" s="28">
        <v>191950</v>
      </c>
      <c r="K134" s="2">
        <f t="shared" ref="K134:K137" si="7" xml:space="preserve"> $K133 + ($J133 - $I133) * $H133</f>
        <v>15469</v>
      </c>
      <c r="L134"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35" spans="6:12" x14ac:dyDescent="0.3">
      <c r="F135" s="6" t="s">
        <v>142</v>
      </c>
      <c r="G135" s="7">
        <v>2024</v>
      </c>
      <c r="H135" s="6">
        <v>0.32</v>
      </c>
      <c r="I135" s="28">
        <f t="shared" si="6"/>
        <v>191950</v>
      </c>
      <c r="J135" s="28">
        <v>243700</v>
      </c>
      <c r="K135" s="2">
        <f t="shared" si="7"/>
        <v>37417</v>
      </c>
      <c r="L135"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36" spans="6:12" x14ac:dyDescent="0.3">
      <c r="F136" s="6" t="s">
        <v>142</v>
      </c>
      <c r="G136" s="7">
        <v>2024</v>
      </c>
      <c r="H136" s="6">
        <v>0.35</v>
      </c>
      <c r="I136" s="28">
        <f t="shared" si="6"/>
        <v>243700</v>
      </c>
      <c r="J136" s="28">
        <v>609350</v>
      </c>
      <c r="K136" s="2">
        <f t="shared" si="7"/>
        <v>53977</v>
      </c>
      <c r="L136"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37" spans="6:12" x14ac:dyDescent="0.3">
      <c r="F137" s="6" t="s">
        <v>142</v>
      </c>
      <c r="G137" s="7">
        <v>2024</v>
      </c>
      <c r="H137" s="6">
        <v>0.37</v>
      </c>
      <c r="I137" s="28">
        <f t="shared" si="6"/>
        <v>609350</v>
      </c>
      <c r="J137" s="28">
        <f>MaxIncomeCell</f>
        <v>10000000</v>
      </c>
      <c r="K137" s="2">
        <f t="shared" si="7"/>
        <v>181954.5</v>
      </c>
      <c r="L137"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38" spans="6:12" x14ac:dyDescent="0.3">
      <c r="F138" s="6"/>
      <c r="G138" s="7"/>
      <c r="I138" s="28"/>
      <c r="J138" s="28"/>
      <c r="K138" s="2"/>
      <c r="L138"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39" spans="6:12" x14ac:dyDescent="0.3">
      <c r="F139" s="6" t="s">
        <v>23</v>
      </c>
      <c r="G139" s="7">
        <v>2025</v>
      </c>
      <c r="H139" s="6">
        <v>0.1</v>
      </c>
      <c r="I139" s="28">
        <v>0</v>
      </c>
      <c r="J139" s="28">
        <v>11925</v>
      </c>
      <c r="K139" s="2">
        <v>0</v>
      </c>
      <c r="L139"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40" spans="6:12" x14ac:dyDescent="0.3">
      <c r="F140" s="6" t="s">
        <v>23</v>
      </c>
      <c r="G140" s="7">
        <v>2025</v>
      </c>
      <c r="H140" s="6">
        <v>0.12</v>
      </c>
      <c r="I140" s="28">
        <f t="shared" ref="I140:I145" si="8">$J139</f>
        <v>11925</v>
      </c>
      <c r="J140" s="28">
        <v>48475</v>
      </c>
      <c r="K140" s="2">
        <f xml:space="preserve"> $K139 + ($J139 - $I139) * $H139</f>
        <v>1192.5</v>
      </c>
      <c r="L140"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41" spans="6:12" x14ac:dyDescent="0.3">
      <c r="F141" s="6" t="s">
        <v>23</v>
      </c>
      <c r="G141" s="7">
        <v>2025</v>
      </c>
      <c r="H141" s="6">
        <v>0.22</v>
      </c>
      <c r="I141" s="28">
        <f t="shared" si="8"/>
        <v>48475</v>
      </c>
      <c r="J141" s="28">
        <v>103350</v>
      </c>
      <c r="K141" s="2">
        <f xml:space="preserve"> $K140 + ($J140 - $I140) * $H140</f>
        <v>5578.5</v>
      </c>
      <c r="L141"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1</v>
      </c>
    </row>
    <row r="142" spans="6:12" x14ac:dyDescent="0.3">
      <c r="F142" s="6" t="s">
        <v>23</v>
      </c>
      <c r="G142" s="7">
        <v>2025</v>
      </c>
      <c r="H142" s="6">
        <v>0.24</v>
      </c>
      <c r="I142" s="28">
        <f t="shared" si="8"/>
        <v>103350</v>
      </c>
      <c r="J142" s="28">
        <v>197300</v>
      </c>
      <c r="K142" s="2">
        <f t="shared" ref="K142:K145" si="9" xml:space="preserve"> $K141 + ($J141 - $I141) * $H141</f>
        <v>17651</v>
      </c>
      <c r="L142"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43" spans="6:12" x14ac:dyDescent="0.3">
      <c r="F143" s="6" t="s">
        <v>23</v>
      </c>
      <c r="G143" s="7">
        <v>2025</v>
      </c>
      <c r="H143" s="6">
        <v>0.32</v>
      </c>
      <c r="I143" s="28">
        <f t="shared" si="8"/>
        <v>197300</v>
      </c>
      <c r="J143" s="28">
        <v>250525</v>
      </c>
      <c r="K143" s="2">
        <f t="shared" si="9"/>
        <v>40199</v>
      </c>
      <c r="L143"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44" spans="6:12" x14ac:dyDescent="0.3">
      <c r="F144" s="6" t="s">
        <v>23</v>
      </c>
      <c r="G144" s="7">
        <v>2025</v>
      </c>
      <c r="H144" s="6">
        <v>0.35</v>
      </c>
      <c r="I144" s="28">
        <f t="shared" si="8"/>
        <v>250525</v>
      </c>
      <c r="J144" s="28">
        <v>626350</v>
      </c>
      <c r="K144" s="2">
        <f t="shared" si="9"/>
        <v>57231</v>
      </c>
      <c r="L144"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45" spans="6:12" x14ac:dyDescent="0.3">
      <c r="F145" s="6" t="s">
        <v>23</v>
      </c>
      <c r="G145" s="7">
        <v>2025</v>
      </c>
      <c r="H145" s="6">
        <v>0.37</v>
      </c>
      <c r="I145" s="28">
        <f t="shared" si="8"/>
        <v>626350</v>
      </c>
      <c r="J145" s="28">
        <f>MaxIncomeCell</f>
        <v>10000000</v>
      </c>
      <c r="K145" s="2">
        <f t="shared" si="9"/>
        <v>188769.75</v>
      </c>
      <c r="L145"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46" spans="6:12" x14ac:dyDescent="0.3">
      <c r="F146" s="6" t="s">
        <v>139</v>
      </c>
      <c r="G146" s="7">
        <v>2025</v>
      </c>
      <c r="H146" s="6">
        <v>0.1</v>
      </c>
      <c r="I146" s="28">
        <v>0</v>
      </c>
      <c r="J146" s="28">
        <v>23850</v>
      </c>
      <c r="K146" s="2">
        <v>0</v>
      </c>
      <c r="L146"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47" spans="6:12" x14ac:dyDescent="0.3">
      <c r="F147" s="6" t="s">
        <v>139</v>
      </c>
      <c r="G147" s="7">
        <v>2025</v>
      </c>
      <c r="H147" s="6">
        <v>0.12</v>
      </c>
      <c r="I147" s="28">
        <f t="shared" ref="I147:I152" si="10">$J146</f>
        <v>23850</v>
      </c>
      <c r="J147" s="28">
        <v>96950</v>
      </c>
      <c r="K147" s="2">
        <f xml:space="preserve"> $K146 + ($J146 - $I146) * $H146</f>
        <v>2385</v>
      </c>
      <c r="L147"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48" spans="6:12" x14ac:dyDescent="0.3">
      <c r="F148" s="6" t="s">
        <v>139</v>
      </c>
      <c r="G148" s="7">
        <v>2025</v>
      </c>
      <c r="H148" s="6">
        <v>0.22</v>
      </c>
      <c r="I148" s="28">
        <f t="shared" si="10"/>
        <v>96950</v>
      </c>
      <c r="J148" s="28">
        <v>206700</v>
      </c>
      <c r="K148" s="2">
        <f xml:space="preserve"> $K147 + ($J147 - $I147) * $H147</f>
        <v>11157</v>
      </c>
      <c r="L148"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49" spans="6:12" x14ac:dyDescent="0.3">
      <c r="F149" s="6" t="s">
        <v>139</v>
      </c>
      <c r="G149" s="7">
        <v>2025</v>
      </c>
      <c r="H149" s="6">
        <v>0.24</v>
      </c>
      <c r="I149" s="28">
        <f t="shared" si="10"/>
        <v>206700</v>
      </c>
      <c r="J149" s="28">
        <v>394600</v>
      </c>
      <c r="K149" s="2">
        <f t="shared" ref="K149:K152" si="11" xml:space="preserve"> $K148 + ($J148 - $I148) * $H148</f>
        <v>35302</v>
      </c>
      <c r="L149"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50" spans="6:12" x14ac:dyDescent="0.3">
      <c r="F150" s="6" t="s">
        <v>139</v>
      </c>
      <c r="G150" s="7">
        <v>2025</v>
      </c>
      <c r="H150" s="6">
        <v>0.32</v>
      </c>
      <c r="I150" s="28">
        <f t="shared" si="10"/>
        <v>394600</v>
      </c>
      <c r="J150" s="28">
        <v>501050</v>
      </c>
      <c r="K150" s="2">
        <f t="shared" si="11"/>
        <v>80398</v>
      </c>
      <c r="L150"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51" spans="6:12" x14ac:dyDescent="0.3">
      <c r="F151" s="6" t="s">
        <v>139</v>
      </c>
      <c r="G151" s="7">
        <v>2025</v>
      </c>
      <c r="H151" s="6">
        <v>0.35</v>
      </c>
      <c r="I151" s="28">
        <f t="shared" si="10"/>
        <v>501050</v>
      </c>
      <c r="J151" s="28">
        <v>751600</v>
      </c>
      <c r="K151" s="2">
        <f t="shared" si="11"/>
        <v>114462</v>
      </c>
      <c r="L151"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52" spans="6:12" x14ac:dyDescent="0.3">
      <c r="F152" s="6" t="s">
        <v>139</v>
      </c>
      <c r="G152" s="7">
        <v>2025</v>
      </c>
      <c r="H152" s="6">
        <v>0.37</v>
      </c>
      <c r="I152" s="28">
        <f t="shared" si="10"/>
        <v>751600</v>
      </c>
      <c r="J152" s="28">
        <f>MaxIncomeCell</f>
        <v>10000000</v>
      </c>
      <c r="K152" s="2">
        <f t="shared" si="11"/>
        <v>202154.5</v>
      </c>
      <c r="L152"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53" spans="6:12" x14ac:dyDescent="0.3">
      <c r="F153" s="6" t="s">
        <v>141</v>
      </c>
      <c r="G153" s="7">
        <v>2025</v>
      </c>
      <c r="H153" s="6">
        <v>0.1</v>
      </c>
      <c r="I153" s="28">
        <v>0</v>
      </c>
      <c r="J153" s="28">
        <v>11925</v>
      </c>
      <c r="K153" s="2">
        <v>0</v>
      </c>
      <c r="L153"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54" spans="6:12" x14ac:dyDescent="0.3">
      <c r="F154" s="6" t="s">
        <v>141</v>
      </c>
      <c r="G154" s="7">
        <v>2025</v>
      </c>
      <c r="H154" s="6">
        <v>0.12</v>
      </c>
      <c r="I154" s="28">
        <f t="shared" ref="I154:I159" si="12">$J153</f>
        <v>11925</v>
      </c>
      <c r="J154" s="28">
        <v>48475</v>
      </c>
      <c r="K154" s="2">
        <f xml:space="preserve"> $K153 + ($J153 - $I153) * $H153</f>
        <v>1192.5</v>
      </c>
      <c r="L154"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55" spans="6:12" x14ac:dyDescent="0.3">
      <c r="F155" s="6" t="s">
        <v>141</v>
      </c>
      <c r="G155" s="7">
        <v>2025</v>
      </c>
      <c r="H155" s="6">
        <v>0.22</v>
      </c>
      <c r="I155" s="28">
        <f t="shared" si="12"/>
        <v>48475</v>
      </c>
      <c r="J155" s="28">
        <v>103350</v>
      </c>
      <c r="K155" s="2">
        <f xml:space="preserve"> $K154 + ($J154 - $I154) * $H154</f>
        <v>5578.5</v>
      </c>
      <c r="L155"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56" spans="6:12" x14ac:dyDescent="0.3">
      <c r="F156" s="6" t="s">
        <v>141</v>
      </c>
      <c r="G156" s="7">
        <v>2025</v>
      </c>
      <c r="H156" s="6">
        <v>0.24</v>
      </c>
      <c r="I156" s="28">
        <f t="shared" si="12"/>
        <v>103350</v>
      </c>
      <c r="J156" s="28">
        <v>197300</v>
      </c>
      <c r="K156" s="2">
        <f t="shared" ref="K156:K159" si="13" xml:space="preserve"> $K155 + ($J155 - $I155) * $H155</f>
        <v>17651</v>
      </c>
      <c r="L156"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57" spans="6:12" x14ac:dyDescent="0.3">
      <c r="F157" s="6" t="s">
        <v>141</v>
      </c>
      <c r="G157" s="7">
        <v>2025</v>
      </c>
      <c r="H157" s="6">
        <v>0.32</v>
      </c>
      <c r="I157" s="28">
        <f t="shared" si="12"/>
        <v>197300</v>
      </c>
      <c r="J157" s="28">
        <v>250525</v>
      </c>
      <c r="K157" s="2">
        <f t="shared" si="13"/>
        <v>40199</v>
      </c>
      <c r="L157"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58" spans="6:12" x14ac:dyDescent="0.3">
      <c r="F158" s="6" t="s">
        <v>141</v>
      </c>
      <c r="G158" s="7">
        <v>2025</v>
      </c>
      <c r="H158" s="6">
        <v>0.35</v>
      </c>
      <c r="I158" s="28">
        <f t="shared" si="12"/>
        <v>250525</v>
      </c>
      <c r="J158" s="28">
        <v>375800</v>
      </c>
      <c r="K158" s="2">
        <f t="shared" si="13"/>
        <v>57231</v>
      </c>
      <c r="L158"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59" spans="6:12" x14ac:dyDescent="0.3">
      <c r="F159" s="6" t="s">
        <v>141</v>
      </c>
      <c r="G159" s="7">
        <v>2025</v>
      </c>
      <c r="H159" s="6">
        <v>0.37</v>
      </c>
      <c r="I159" s="28">
        <f t="shared" si="12"/>
        <v>375800</v>
      </c>
      <c r="J159" s="28">
        <f>MaxIncomeCell</f>
        <v>10000000</v>
      </c>
      <c r="K159" s="2">
        <f t="shared" si="13"/>
        <v>101077.25</v>
      </c>
      <c r="L159"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60" spans="6:12" x14ac:dyDescent="0.3">
      <c r="F160" s="6" t="s">
        <v>142</v>
      </c>
      <c r="G160" s="7">
        <v>2025</v>
      </c>
      <c r="H160" s="6">
        <v>0.1</v>
      </c>
      <c r="I160" s="28">
        <v>0</v>
      </c>
      <c r="J160" s="28">
        <v>17000</v>
      </c>
      <c r="K160" s="2">
        <v>0</v>
      </c>
      <c r="L160"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61" spans="6:12" x14ac:dyDescent="0.3">
      <c r="F161" s="6" t="s">
        <v>142</v>
      </c>
      <c r="G161" s="7">
        <v>2025</v>
      </c>
      <c r="H161" s="6">
        <v>0.12</v>
      </c>
      <c r="I161" s="28">
        <f t="shared" ref="I161:I166" si="14">$J160</f>
        <v>17000</v>
      </c>
      <c r="J161" s="28">
        <v>64850</v>
      </c>
      <c r="K161" s="2">
        <f xml:space="preserve"> $K160 + ($J160 - $I160) * $H160</f>
        <v>1700</v>
      </c>
      <c r="L161"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62" spans="6:12" x14ac:dyDescent="0.3">
      <c r="F162" s="6" t="s">
        <v>142</v>
      </c>
      <c r="G162" s="7">
        <v>2025</v>
      </c>
      <c r="H162" s="6">
        <v>0.22</v>
      </c>
      <c r="I162" s="28">
        <f t="shared" si="14"/>
        <v>64850</v>
      </c>
      <c r="J162" s="28">
        <v>103350</v>
      </c>
      <c r="K162" s="2">
        <f xml:space="preserve"> $K161 + ($J161 - $I161) * $H161</f>
        <v>7442</v>
      </c>
      <c r="L162"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63" spans="6:12" x14ac:dyDescent="0.3">
      <c r="F163" s="6" t="s">
        <v>142</v>
      </c>
      <c r="G163" s="7">
        <v>2025</v>
      </c>
      <c r="H163" s="6">
        <v>0.24</v>
      </c>
      <c r="I163" s="28">
        <f t="shared" si="14"/>
        <v>103350</v>
      </c>
      <c r="J163" s="28">
        <v>197300</v>
      </c>
      <c r="K163" s="2">
        <f t="shared" ref="K163:K166" si="15" xml:space="preserve"> $K162 + ($J162 - $I162) * $H162</f>
        <v>15912</v>
      </c>
      <c r="L163"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64" spans="6:12" x14ac:dyDescent="0.3">
      <c r="F164" s="6" t="s">
        <v>142</v>
      </c>
      <c r="G164" s="7">
        <v>2025</v>
      </c>
      <c r="H164" s="6">
        <v>0.32</v>
      </c>
      <c r="I164" s="28">
        <f t="shared" si="14"/>
        <v>197300</v>
      </c>
      <c r="J164" s="28">
        <v>250500</v>
      </c>
      <c r="K164" s="2">
        <f t="shared" si="15"/>
        <v>38460</v>
      </c>
      <c r="L164"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65" spans="6:12" x14ac:dyDescent="0.3">
      <c r="F165" s="6" t="s">
        <v>142</v>
      </c>
      <c r="G165" s="7">
        <v>2025</v>
      </c>
      <c r="H165" s="6">
        <v>0.35</v>
      </c>
      <c r="I165" s="28">
        <f t="shared" si="14"/>
        <v>250500</v>
      </c>
      <c r="J165" s="28">
        <v>626350</v>
      </c>
      <c r="K165" s="2">
        <f t="shared" si="15"/>
        <v>55484</v>
      </c>
      <c r="L165"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66" spans="6:12" x14ac:dyDescent="0.3">
      <c r="F166" s="6" t="s">
        <v>142</v>
      </c>
      <c r="G166" s="7">
        <v>2025</v>
      </c>
      <c r="H166" s="6">
        <v>0.37</v>
      </c>
      <c r="I166" s="28">
        <f t="shared" si="14"/>
        <v>626350</v>
      </c>
      <c r="J166" s="28">
        <f>MaxIncomeCell</f>
        <v>10000000</v>
      </c>
      <c r="K166" s="2">
        <f t="shared" si="15"/>
        <v>187031.5</v>
      </c>
      <c r="L166"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67" spans="6:12" x14ac:dyDescent="0.3">
      <c r="F167" s="91"/>
      <c r="G167" s="7"/>
      <c r="I167" s="28"/>
      <c r="J167" s="28"/>
      <c r="K167" s="2"/>
      <c r="L167"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68" spans="6:12" x14ac:dyDescent="0.3">
      <c r="F168" s="91" t="s">
        <v>23</v>
      </c>
      <c r="G168" s="7">
        <v>2026</v>
      </c>
      <c r="H168" s="6">
        <v>0.1</v>
      </c>
      <c r="I168" s="28">
        <v>0</v>
      </c>
      <c r="J168" s="28">
        <v>12400</v>
      </c>
      <c r="K168" s="2">
        <v>0</v>
      </c>
      <c r="L168"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69" spans="6:12" x14ac:dyDescent="0.3">
      <c r="F169" s="91" t="s">
        <v>23</v>
      </c>
      <c r="G169" s="7">
        <v>2026</v>
      </c>
      <c r="H169" s="6">
        <v>0.12</v>
      </c>
      <c r="I169" s="28">
        <f t="shared" ref="I169:I174" si="16">$J168</f>
        <v>12400</v>
      </c>
      <c r="J169" s="28">
        <v>50400</v>
      </c>
      <c r="K169" s="2">
        <f xml:space="preserve"> $K168 + ($J168 - $I168) * $H168</f>
        <v>1240</v>
      </c>
      <c r="L169"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70" spans="6:12" x14ac:dyDescent="0.3">
      <c r="F170" s="91" t="s">
        <v>23</v>
      </c>
      <c r="G170" s="7">
        <v>2026</v>
      </c>
      <c r="H170" s="6">
        <v>0.22</v>
      </c>
      <c r="I170" s="28">
        <f t="shared" si="16"/>
        <v>50400</v>
      </c>
      <c r="J170" s="28">
        <v>105700</v>
      </c>
      <c r="K170" s="2">
        <f xml:space="preserve"> $K169 + ($J169 - $I169) * $H169</f>
        <v>5800</v>
      </c>
      <c r="L170"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71" spans="6:12" x14ac:dyDescent="0.3">
      <c r="F171" s="91" t="s">
        <v>23</v>
      </c>
      <c r="G171" s="7">
        <v>2026</v>
      </c>
      <c r="H171" s="6">
        <v>0.24</v>
      </c>
      <c r="I171" s="28">
        <f t="shared" si="16"/>
        <v>105700</v>
      </c>
      <c r="J171" s="28">
        <v>201775</v>
      </c>
      <c r="K171" s="2">
        <f t="shared" ref="K171:K174" si="17" xml:space="preserve"> $K170 + ($J170 - $I170) * $H170</f>
        <v>17966</v>
      </c>
      <c r="L171"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72" spans="6:12" x14ac:dyDescent="0.3">
      <c r="F172" s="91" t="s">
        <v>23</v>
      </c>
      <c r="G172" s="7">
        <v>2026</v>
      </c>
      <c r="H172" s="6">
        <v>0.32</v>
      </c>
      <c r="I172" s="28">
        <f t="shared" si="16"/>
        <v>201775</v>
      </c>
      <c r="J172" s="28">
        <v>256225</v>
      </c>
      <c r="K172" s="2">
        <f t="shared" si="17"/>
        <v>41024</v>
      </c>
      <c r="L172"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73" spans="6:12" x14ac:dyDescent="0.3">
      <c r="F173" s="91" t="s">
        <v>23</v>
      </c>
      <c r="G173" s="7">
        <v>2026</v>
      </c>
      <c r="H173" s="6">
        <v>0.35</v>
      </c>
      <c r="I173" s="28">
        <f t="shared" si="16"/>
        <v>256225</v>
      </c>
      <c r="J173" s="28">
        <v>640600</v>
      </c>
      <c r="K173" s="2">
        <f t="shared" si="17"/>
        <v>58448</v>
      </c>
      <c r="L173"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74" spans="6:12" x14ac:dyDescent="0.3">
      <c r="F174" s="91" t="s">
        <v>23</v>
      </c>
      <c r="G174" s="7">
        <v>2026</v>
      </c>
      <c r="H174" s="6">
        <v>0.37</v>
      </c>
      <c r="I174" s="28">
        <f t="shared" si="16"/>
        <v>640600</v>
      </c>
      <c r="J174" s="28">
        <f>MaxIncomeCell</f>
        <v>10000000</v>
      </c>
      <c r="K174" s="2">
        <f t="shared" si="17"/>
        <v>192979.25</v>
      </c>
      <c r="L174"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75" spans="6:12" x14ac:dyDescent="0.3">
      <c r="F175" s="91" t="s">
        <v>139</v>
      </c>
      <c r="G175" s="7">
        <v>2026</v>
      </c>
      <c r="H175" s="6">
        <v>0.1</v>
      </c>
      <c r="I175" s="28">
        <v>0</v>
      </c>
      <c r="J175" s="28">
        <v>24800</v>
      </c>
      <c r="K175" s="2">
        <v>0</v>
      </c>
      <c r="L175"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76" spans="6:12" x14ac:dyDescent="0.3">
      <c r="F176" s="91" t="s">
        <v>139</v>
      </c>
      <c r="G176" s="7">
        <v>2026</v>
      </c>
      <c r="H176" s="6">
        <v>0.12</v>
      </c>
      <c r="I176" s="28">
        <f t="shared" ref="I176:I181" si="18">$J175</f>
        <v>24800</v>
      </c>
      <c r="J176" s="28">
        <v>100800</v>
      </c>
      <c r="K176" s="2">
        <f xml:space="preserve"> $K175 + ($J175 - $I175) * $H175</f>
        <v>2480</v>
      </c>
      <c r="L176"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77" spans="6:12" x14ac:dyDescent="0.3">
      <c r="F177" s="91" t="s">
        <v>139</v>
      </c>
      <c r="G177" s="7">
        <v>2026</v>
      </c>
      <c r="H177" s="6">
        <v>0.22</v>
      </c>
      <c r="I177" s="28">
        <f t="shared" si="18"/>
        <v>100800</v>
      </c>
      <c r="J177" s="28">
        <v>211400</v>
      </c>
      <c r="K177" s="2">
        <f xml:space="preserve"> $K176 + ($J176 - $I176) * $H176</f>
        <v>11600</v>
      </c>
      <c r="L177"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78" spans="6:12" x14ac:dyDescent="0.3">
      <c r="F178" s="91" t="s">
        <v>139</v>
      </c>
      <c r="G178" s="7">
        <v>2026</v>
      </c>
      <c r="H178" s="6">
        <v>0.24</v>
      </c>
      <c r="I178" s="28">
        <f t="shared" si="18"/>
        <v>211400</v>
      </c>
      <c r="J178" s="28">
        <v>403550</v>
      </c>
      <c r="K178" s="2">
        <f t="shared" ref="K178:K181" si="19" xml:space="preserve"> $K177 + ($J177 - $I177) * $H177</f>
        <v>35932</v>
      </c>
      <c r="L178"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79" spans="6:12" x14ac:dyDescent="0.3">
      <c r="F179" s="91" t="s">
        <v>139</v>
      </c>
      <c r="G179" s="7">
        <v>2026</v>
      </c>
      <c r="H179" s="6">
        <v>0.32</v>
      </c>
      <c r="I179" s="28">
        <f t="shared" si="18"/>
        <v>403550</v>
      </c>
      <c r="J179" s="28">
        <v>512450</v>
      </c>
      <c r="K179" s="2">
        <f t="shared" si="19"/>
        <v>82048</v>
      </c>
      <c r="L179"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80" spans="6:12" x14ac:dyDescent="0.3">
      <c r="F180" s="91" t="s">
        <v>139</v>
      </c>
      <c r="G180" s="7">
        <v>2026</v>
      </c>
      <c r="H180" s="6">
        <v>0.35</v>
      </c>
      <c r="I180" s="28">
        <f t="shared" si="18"/>
        <v>512450</v>
      </c>
      <c r="J180" s="28">
        <v>768700</v>
      </c>
      <c r="K180" s="2">
        <f t="shared" si="19"/>
        <v>116896</v>
      </c>
      <c r="L180"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81" spans="6:12" x14ac:dyDescent="0.3">
      <c r="F181" s="91" t="s">
        <v>139</v>
      </c>
      <c r="G181" s="7">
        <v>2026</v>
      </c>
      <c r="H181" s="6">
        <v>0.37</v>
      </c>
      <c r="I181" s="28">
        <f t="shared" si="18"/>
        <v>768700</v>
      </c>
      <c r="J181" s="28">
        <f>MaxIncomeCell</f>
        <v>10000000</v>
      </c>
      <c r="K181" s="2">
        <f t="shared" si="19"/>
        <v>206583.5</v>
      </c>
      <c r="L181"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82" spans="6:12" x14ac:dyDescent="0.3">
      <c r="F182" s="91" t="s">
        <v>141</v>
      </c>
      <c r="G182" s="7">
        <v>2026</v>
      </c>
      <c r="H182" s="6">
        <v>0.1</v>
      </c>
      <c r="I182" s="28">
        <v>0</v>
      </c>
      <c r="J182" s="28">
        <v>12400</v>
      </c>
      <c r="K182" s="2">
        <v>0</v>
      </c>
      <c r="L182"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83" spans="6:12" x14ac:dyDescent="0.3">
      <c r="F183" s="91" t="s">
        <v>141</v>
      </c>
      <c r="G183" s="7">
        <v>2026</v>
      </c>
      <c r="H183" s="6">
        <v>0.12</v>
      </c>
      <c r="I183" s="28">
        <f t="shared" ref="I183:I188" si="20">$J182</f>
        <v>12400</v>
      </c>
      <c r="J183" s="28">
        <v>50400</v>
      </c>
      <c r="K183" s="2">
        <f xml:space="preserve"> $K182 + ($J182 - $I182) * $H182</f>
        <v>1240</v>
      </c>
      <c r="L183"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84" spans="6:12" x14ac:dyDescent="0.3">
      <c r="F184" s="91" t="s">
        <v>141</v>
      </c>
      <c r="G184" s="7">
        <v>2026</v>
      </c>
      <c r="H184" s="6">
        <v>0.22</v>
      </c>
      <c r="I184" s="28">
        <f t="shared" si="20"/>
        <v>50400</v>
      </c>
      <c r="J184" s="28">
        <v>105700</v>
      </c>
      <c r="K184" s="2">
        <f xml:space="preserve"> $K183 + ($J183 - $I183) * $H183</f>
        <v>5800</v>
      </c>
      <c r="L184"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85" spans="6:12" x14ac:dyDescent="0.3">
      <c r="F185" s="91" t="s">
        <v>141</v>
      </c>
      <c r="G185" s="7">
        <v>2026</v>
      </c>
      <c r="H185" s="6">
        <v>0.24</v>
      </c>
      <c r="I185" s="28">
        <f t="shared" si="20"/>
        <v>105700</v>
      </c>
      <c r="J185" s="28">
        <v>201775</v>
      </c>
      <c r="K185" s="2">
        <f t="shared" ref="K185:K188" si="21" xml:space="preserve"> $K184 + ($J184 - $I184) * $H184</f>
        <v>17966</v>
      </c>
      <c r="L185"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86" spans="6:12" x14ac:dyDescent="0.3">
      <c r="F186" s="91" t="s">
        <v>141</v>
      </c>
      <c r="G186" s="7">
        <v>2026</v>
      </c>
      <c r="H186" s="6">
        <v>0.32</v>
      </c>
      <c r="I186" s="28">
        <f t="shared" si="20"/>
        <v>201775</v>
      </c>
      <c r="J186" s="28">
        <v>256225</v>
      </c>
      <c r="K186" s="2">
        <f t="shared" si="21"/>
        <v>41024</v>
      </c>
      <c r="L186"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87" spans="6:12" x14ac:dyDescent="0.3">
      <c r="F187" s="91" t="s">
        <v>141</v>
      </c>
      <c r="G187" s="7">
        <v>2026</v>
      </c>
      <c r="H187" s="6">
        <v>0.35</v>
      </c>
      <c r="I187" s="28">
        <f t="shared" si="20"/>
        <v>256225</v>
      </c>
      <c r="J187" s="28">
        <v>384350</v>
      </c>
      <c r="K187" s="2">
        <f t="shared" si="21"/>
        <v>58448</v>
      </c>
      <c r="L187"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88" spans="6:12" x14ac:dyDescent="0.3">
      <c r="F188" s="91" t="s">
        <v>141</v>
      </c>
      <c r="G188" s="7">
        <v>2026</v>
      </c>
      <c r="H188" s="6">
        <v>0.37</v>
      </c>
      <c r="I188" s="28">
        <f t="shared" si="20"/>
        <v>384350</v>
      </c>
      <c r="J188" s="28">
        <f>MaxIncomeCell</f>
        <v>10000000</v>
      </c>
      <c r="K188" s="2">
        <f t="shared" si="21"/>
        <v>103291.75</v>
      </c>
      <c r="L188"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89" spans="6:12" x14ac:dyDescent="0.3">
      <c r="F189" s="91" t="s">
        <v>142</v>
      </c>
      <c r="G189" s="7">
        <v>2026</v>
      </c>
      <c r="H189" s="6">
        <v>0.1</v>
      </c>
      <c r="I189" s="28">
        <v>0</v>
      </c>
      <c r="J189" s="28">
        <v>17700</v>
      </c>
      <c r="K189" s="2">
        <v>0</v>
      </c>
      <c r="L189"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90" spans="6:12" x14ac:dyDescent="0.3">
      <c r="F190" s="91" t="s">
        <v>142</v>
      </c>
      <c r="G190" s="7">
        <v>2026</v>
      </c>
      <c r="H190" s="6">
        <v>0.12</v>
      </c>
      <c r="I190" s="28">
        <f t="shared" ref="I190:I195" si="22">$J189</f>
        <v>17700</v>
      </c>
      <c r="J190" s="28">
        <v>67450</v>
      </c>
      <c r="K190" s="2">
        <f xml:space="preserve"> $K189 + ($J189 - $I189) * $H189</f>
        <v>1770</v>
      </c>
      <c r="L190"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91" spans="6:12" x14ac:dyDescent="0.3">
      <c r="F191" s="91" t="s">
        <v>142</v>
      </c>
      <c r="G191" s="7">
        <v>2026</v>
      </c>
      <c r="H191" s="6">
        <v>0.22</v>
      </c>
      <c r="I191" s="28">
        <f t="shared" si="22"/>
        <v>67450</v>
      </c>
      <c r="J191" s="28">
        <v>105700</v>
      </c>
      <c r="K191" s="2">
        <f xml:space="preserve"> $K190 + ($J190 - $I190) * $H190</f>
        <v>7740</v>
      </c>
      <c r="L191"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92" spans="6:12" x14ac:dyDescent="0.3">
      <c r="F192" s="91" t="s">
        <v>142</v>
      </c>
      <c r="G192" s="7">
        <v>2026</v>
      </c>
      <c r="H192" s="6">
        <v>0.24</v>
      </c>
      <c r="I192" s="28">
        <f t="shared" si="22"/>
        <v>105700</v>
      </c>
      <c r="J192" s="28">
        <v>201750</v>
      </c>
      <c r="K192" s="2">
        <f t="shared" ref="K192:K195" si="23" xml:space="preserve"> $K191 + ($J191 - $I191) * $H191</f>
        <v>16155</v>
      </c>
      <c r="L192"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93" spans="6:12" x14ac:dyDescent="0.3">
      <c r="F193" s="91" t="s">
        <v>142</v>
      </c>
      <c r="G193" s="7">
        <v>2026</v>
      </c>
      <c r="H193" s="6">
        <v>0.32</v>
      </c>
      <c r="I193" s="28">
        <f t="shared" si="22"/>
        <v>201750</v>
      </c>
      <c r="J193" s="28">
        <v>256200</v>
      </c>
      <c r="K193" s="2">
        <f t="shared" si="23"/>
        <v>39207</v>
      </c>
      <c r="L193"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94" spans="6:12" x14ac:dyDescent="0.3">
      <c r="F194" s="91" t="s">
        <v>142</v>
      </c>
      <c r="G194" s="7">
        <v>2026</v>
      </c>
      <c r="H194" s="6">
        <v>0.35</v>
      </c>
      <c r="I194" s="28">
        <f t="shared" si="22"/>
        <v>256200</v>
      </c>
      <c r="J194" s="28">
        <v>640600</v>
      </c>
      <c r="K194" s="2">
        <f t="shared" si="23"/>
        <v>56631</v>
      </c>
      <c r="L194"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95" spans="6:12" x14ac:dyDescent="0.3">
      <c r="F195" s="91" t="s">
        <v>142</v>
      </c>
      <c r="G195" s="7">
        <v>2026</v>
      </c>
      <c r="H195" s="6">
        <v>0.37</v>
      </c>
      <c r="I195" s="28">
        <f t="shared" si="22"/>
        <v>640600</v>
      </c>
      <c r="J195" s="28">
        <f>MaxIncomeCell</f>
        <v>10000000</v>
      </c>
      <c r="K195" s="2">
        <f t="shared" si="23"/>
        <v>191171</v>
      </c>
      <c r="L195" t="b">
        <f xml:space="preserve"> AND(
    (FederalIncomeTaxRateTable[[#This Row],[Tax Year]] = EstimateInputTaxYearCell),
    (FederalIncomeTaxRateTable[[#This Row],[Status LabelId]] = EstimateInputFilingStatusCell),
    (FederalIncomeTaxRateTable[[#This Row],[RangeEnd]] &gt;= Estimator!$C$86),
    OR(
        FederalIncomeTaxRateTable[[#This Row],[RangeStart]] &lt; Estimator!$C$86,
        AND(FederalIncomeTaxRateTable[[#This Row],[RangeStart]] = 0, Estimator!$C$86 = 0)
    )
)</f>
        <v>0</v>
      </c>
    </row>
    <row r="199" spans="6:12" x14ac:dyDescent="0.3">
      <c r="F199" s="58" t="str">
        <f ca="1">_xlfn.LET(
    _xlpm.HandleFormulaText, _xlfn.FORMULATEXT(H199),
    MID(_xlpm.HandleFormulaText, 2, FIND("[", _xlpm.HandleFormulaText) - 2)
)</f>
        <v>AlternativeMimumumTaxThresholdsTable</v>
      </c>
      <c r="G199" s="13" t="s">
        <v>128</v>
      </c>
      <c r="H199" s="14" t="str">
        <f>AlternativeMimumumTaxThresholdsTable[[#Headers],[AMT Exemption]]</f>
        <v>AMT Exemption</v>
      </c>
    </row>
    <row r="200" spans="6:12" x14ac:dyDescent="0.3">
      <c r="K200" s="16" t="str">
        <f xml:space="preserve"> _xlfn.LET(
    _xlpm.CountSelected, COUNTIF(AlternativeMimumumTaxThresholdsTable[IsSelected], TRUE),
    IF( _xlpm.CountSelected = 1, SelectionValidLabelCell, "Error: " &amp; _xlpm.CountSelected &amp; " rows selected")
)</f>
        <v>Valid</v>
      </c>
    </row>
    <row r="201" spans="6:12" x14ac:dyDescent="0.3">
      <c r="F201" t="s">
        <v>148</v>
      </c>
      <c r="G201" t="s">
        <v>143</v>
      </c>
      <c r="H201" t="s">
        <v>155</v>
      </c>
      <c r="I201" t="s">
        <v>156</v>
      </c>
      <c r="J201" t="s">
        <v>161</v>
      </c>
      <c r="K201" t="s">
        <v>134</v>
      </c>
    </row>
    <row r="202" spans="6:12" x14ac:dyDescent="0.3">
      <c r="F202" s="6" t="s">
        <v>23</v>
      </c>
      <c r="G202" s="7">
        <v>2024</v>
      </c>
      <c r="H202" s="59">
        <v>85700</v>
      </c>
      <c r="I202" s="28">
        <v>609350</v>
      </c>
      <c r="J202" s="92">
        <v>0.25</v>
      </c>
      <c r="K202" t="b">
        <f xml:space="preserve"> AND(
    (AlternativeMimumumTaxThresholdsTable[[#This Row],[Tax Year]] = EstimateInputTaxYearCell),
    (AlternativeMimumumTaxThresholdsTable[[#This Row],[Status LabelId]] = EstimateInputFilingStatusCell)
)</f>
        <v>0</v>
      </c>
    </row>
    <row r="203" spans="6:12" x14ac:dyDescent="0.3">
      <c r="F203" s="6" t="s">
        <v>139</v>
      </c>
      <c r="G203" s="7">
        <v>2024</v>
      </c>
      <c r="H203" s="59">
        <v>133300</v>
      </c>
      <c r="I203" s="28">
        <v>1218700</v>
      </c>
      <c r="J203" s="92">
        <v>0.25</v>
      </c>
      <c r="K203" t="b">
        <f xml:space="preserve"> AND(
    (AlternativeMimumumTaxThresholdsTable[[#This Row],[Tax Year]] = EstimateInputTaxYearCell),
    (AlternativeMimumumTaxThresholdsTable[[#This Row],[Status LabelId]] = EstimateInputFilingStatusCell)
)</f>
        <v>0</v>
      </c>
    </row>
    <row r="204" spans="6:12" x14ac:dyDescent="0.3">
      <c r="F204" s="6" t="s">
        <v>141</v>
      </c>
      <c r="G204" s="7">
        <v>2024</v>
      </c>
      <c r="H204" s="59">
        <v>66650</v>
      </c>
      <c r="I204" s="28">
        <v>609350</v>
      </c>
      <c r="J204" s="92">
        <v>0.25</v>
      </c>
      <c r="K204" t="b">
        <f xml:space="preserve"> AND(
    (AlternativeMimumumTaxThresholdsTable[[#This Row],[Tax Year]] = EstimateInputTaxYearCell),
    (AlternativeMimumumTaxThresholdsTable[[#This Row],[Status LabelId]] = EstimateInputFilingStatusCell)
)</f>
        <v>0</v>
      </c>
    </row>
    <row r="205" spans="6:12" x14ac:dyDescent="0.3">
      <c r="F205" s="6" t="s">
        <v>142</v>
      </c>
      <c r="G205" s="7">
        <v>2024</v>
      </c>
      <c r="H205" s="59">
        <v>85700</v>
      </c>
      <c r="I205" s="28">
        <v>609350</v>
      </c>
      <c r="J205" s="92">
        <v>0.25</v>
      </c>
      <c r="K205" t="b">
        <f xml:space="preserve"> AND(
    (AlternativeMimumumTaxThresholdsTable[[#This Row],[Tax Year]] = EstimateInputTaxYearCell),
    (AlternativeMimumumTaxThresholdsTable[[#This Row],[Status LabelId]] = EstimateInputFilingStatusCell)
)</f>
        <v>0</v>
      </c>
    </row>
    <row r="206" spans="6:12" x14ac:dyDescent="0.3">
      <c r="F206" s="6"/>
      <c r="G206" s="7"/>
      <c r="H206" s="59"/>
      <c r="I206" s="28"/>
      <c r="J206" s="28"/>
      <c r="K206" t="b">
        <f xml:space="preserve"> AND(
    (AlternativeMimumumTaxThresholdsTable[[#This Row],[Tax Year]] = EstimateInputTaxYearCell),
    (AlternativeMimumumTaxThresholdsTable[[#This Row],[Status LabelId]] = EstimateInputFilingStatusCell)
)</f>
        <v>0</v>
      </c>
    </row>
    <row r="207" spans="6:12" x14ac:dyDescent="0.3">
      <c r="F207" s="6" t="s">
        <v>23</v>
      </c>
      <c r="G207" s="7">
        <v>2025</v>
      </c>
      <c r="H207" s="59">
        <v>88100</v>
      </c>
      <c r="I207" s="28">
        <v>626350</v>
      </c>
      <c r="J207" s="92">
        <v>0.25</v>
      </c>
      <c r="K207" t="b">
        <f xml:space="preserve"> AND(
    (AlternativeMimumumTaxThresholdsTable[[#This Row],[Tax Year]] = EstimateInputTaxYearCell),
    (AlternativeMimumumTaxThresholdsTable[[#This Row],[Status LabelId]] = EstimateInputFilingStatusCell)
)</f>
        <v>1</v>
      </c>
    </row>
    <row r="208" spans="6:12" x14ac:dyDescent="0.3">
      <c r="F208" s="6" t="s">
        <v>139</v>
      </c>
      <c r="G208" s="7">
        <v>2025</v>
      </c>
      <c r="H208" s="59">
        <v>137000</v>
      </c>
      <c r="I208" s="28">
        <v>1252700</v>
      </c>
      <c r="J208" s="92">
        <v>0.25</v>
      </c>
      <c r="K208" t="b">
        <f xml:space="preserve"> AND(
    (AlternativeMimumumTaxThresholdsTable[[#This Row],[Tax Year]] = EstimateInputTaxYearCell),
    (AlternativeMimumumTaxThresholdsTable[[#This Row],[Status LabelId]] = EstimateInputFilingStatusCell)
)</f>
        <v>0</v>
      </c>
    </row>
    <row r="209" spans="6:12" x14ac:dyDescent="0.3">
      <c r="F209" s="6" t="s">
        <v>141</v>
      </c>
      <c r="G209" s="7">
        <v>2025</v>
      </c>
      <c r="H209" s="59">
        <v>68500</v>
      </c>
      <c r="I209" s="28">
        <v>626350</v>
      </c>
      <c r="J209" s="92">
        <v>0.25</v>
      </c>
      <c r="K209" t="b">
        <f xml:space="preserve"> AND(
    (AlternativeMimumumTaxThresholdsTable[[#This Row],[Tax Year]] = EstimateInputTaxYearCell),
    (AlternativeMimumumTaxThresholdsTable[[#This Row],[Status LabelId]] = EstimateInputFilingStatusCell)
)</f>
        <v>0</v>
      </c>
    </row>
    <row r="210" spans="6:12" x14ac:dyDescent="0.3">
      <c r="F210" s="6" t="s">
        <v>142</v>
      </c>
      <c r="G210" s="7">
        <v>2025</v>
      </c>
      <c r="H210" s="59">
        <v>88100</v>
      </c>
      <c r="I210" s="28">
        <v>626350</v>
      </c>
      <c r="J210" s="92">
        <v>0.25</v>
      </c>
      <c r="K210" t="b">
        <f xml:space="preserve"> AND(
    (AlternativeMimumumTaxThresholdsTable[[#This Row],[Tax Year]] = EstimateInputTaxYearCell),
    (AlternativeMimumumTaxThresholdsTable[[#This Row],[Status LabelId]] = EstimateInputFilingStatusCell)
)</f>
        <v>0</v>
      </c>
    </row>
    <row r="211" spans="6:12" x14ac:dyDescent="0.3">
      <c r="F211" s="6"/>
      <c r="G211" s="7"/>
      <c r="H211" s="59"/>
      <c r="I211" s="28"/>
      <c r="J211" s="28"/>
      <c r="K211" t="b">
        <f xml:space="preserve"> AND(
    (AlternativeMimumumTaxThresholdsTable[[#This Row],[Tax Year]] = EstimateInputTaxYearCell),
    (AlternativeMimumumTaxThresholdsTable[[#This Row],[Status LabelId]] = EstimateInputFilingStatusCell)
)</f>
        <v>0</v>
      </c>
    </row>
    <row r="212" spans="6:12" x14ac:dyDescent="0.3">
      <c r="F212" s="6" t="s">
        <v>23</v>
      </c>
      <c r="G212" s="7">
        <v>2026</v>
      </c>
      <c r="H212" s="59">
        <v>90100</v>
      </c>
      <c r="I212" s="28">
        <v>500000</v>
      </c>
      <c r="J212" s="92">
        <v>0.5</v>
      </c>
      <c r="K212" t="b">
        <f xml:space="preserve"> AND(
    (AlternativeMimumumTaxThresholdsTable[[#This Row],[Tax Year]] = EstimateInputTaxYearCell),
    (AlternativeMimumumTaxThresholdsTable[[#This Row],[Status LabelId]] = EstimateInputFilingStatusCell)
)</f>
        <v>0</v>
      </c>
    </row>
    <row r="213" spans="6:12" x14ac:dyDescent="0.3">
      <c r="F213" s="6" t="s">
        <v>139</v>
      </c>
      <c r="G213" s="7">
        <v>2026</v>
      </c>
      <c r="H213" s="59">
        <v>140200</v>
      </c>
      <c r="I213" s="28">
        <v>1000000</v>
      </c>
      <c r="J213" s="92">
        <v>0.5</v>
      </c>
      <c r="K213" t="b">
        <f xml:space="preserve"> AND(
    (AlternativeMimumumTaxThresholdsTable[[#This Row],[Tax Year]] = EstimateInputTaxYearCell),
    (AlternativeMimumumTaxThresholdsTable[[#This Row],[Status LabelId]] = EstimateInputFilingStatusCell)
)</f>
        <v>0</v>
      </c>
    </row>
    <row r="214" spans="6:12" x14ac:dyDescent="0.3">
      <c r="F214" s="6" t="s">
        <v>141</v>
      </c>
      <c r="G214" s="7">
        <v>2026</v>
      </c>
      <c r="H214" s="59">
        <v>70100</v>
      </c>
      <c r="I214" s="28">
        <v>500000</v>
      </c>
      <c r="J214" s="92">
        <v>0.5</v>
      </c>
      <c r="K214" t="b">
        <f xml:space="preserve"> AND(
    (AlternativeMimumumTaxThresholdsTable[[#This Row],[Tax Year]] = EstimateInputTaxYearCell),
    (AlternativeMimumumTaxThresholdsTable[[#This Row],[Status LabelId]] = EstimateInputFilingStatusCell)
)</f>
        <v>0</v>
      </c>
    </row>
    <row r="215" spans="6:12" x14ac:dyDescent="0.3">
      <c r="F215" s="6" t="s">
        <v>142</v>
      </c>
      <c r="G215" s="7">
        <v>2026</v>
      </c>
      <c r="H215" s="59">
        <v>90100</v>
      </c>
      <c r="I215" s="28">
        <v>500000</v>
      </c>
      <c r="J215" s="92">
        <v>0.5</v>
      </c>
      <c r="K215" t="b">
        <f xml:space="preserve"> AND(
    (AlternativeMimumumTaxThresholdsTable[[#This Row],[Tax Year]] = EstimateInputTaxYearCell),
    (AlternativeMimumumTaxThresholdsTable[[#This Row],[Status LabelId]] = EstimateInputFilingStatusCell)
)</f>
        <v>0</v>
      </c>
    </row>
    <row r="219" spans="6:12" x14ac:dyDescent="0.3">
      <c r="F219" s="27" t="str">
        <f ca="1">_xlfn.LET(
    _xlpm.HandleFormulaText, _xlfn.FORMULATEXT(H219),
    MID(_xlpm.HandleFormulaText, 2, FIND("[", _xlpm.HandleFormulaText) - 2)
)</f>
        <v>AlternativeMinimumTaxRateTable</v>
      </c>
      <c r="G219" s="13" t="s">
        <v>128</v>
      </c>
      <c r="H219" s="14" t="str">
        <f>AlternativeMinimumTaxRateTable[[#Headers],[AMT Rate]]</f>
        <v>AMT Rate</v>
      </c>
    </row>
    <row r="220" spans="6:12" x14ac:dyDescent="0.3">
      <c r="L220" s="16" t="str">
        <f xml:space="preserve"> _xlfn.LET(
    _xlpm.CountSelected, COUNTIF(AlternativeMinimumTaxRateTable[IsSelected], TRUE),
    IF( _xlpm.CountSelected = 1, SelectionValidLabelCell, "Error: " &amp; _xlpm.CountSelected &amp; " rows selected")
)</f>
        <v>Valid</v>
      </c>
    </row>
    <row r="221" spans="6:12" x14ac:dyDescent="0.3">
      <c r="F221" s="24" t="s">
        <v>148</v>
      </c>
      <c r="G221" s="24" t="s">
        <v>143</v>
      </c>
      <c r="H221" s="24" t="s">
        <v>157</v>
      </c>
      <c r="I221" s="24" t="s">
        <v>145</v>
      </c>
      <c r="J221" s="24" t="s">
        <v>146</v>
      </c>
      <c r="K221" s="24" t="s">
        <v>147</v>
      </c>
      <c r="L221" s="24" t="s">
        <v>134</v>
      </c>
    </row>
    <row r="222" spans="6:12" x14ac:dyDescent="0.3">
      <c r="F222" s="6" t="s">
        <v>23</v>
      </c>
      <c r="G222" s="7">
        <v>2024</v>
      </c>
      <c r="H222" s="6">
        <v>0.26</v>
      </c>
      <c r="I222" s="28">
        <v>0</v>
      </c>
      <c r="J222" s="28">
        <v>232600</v>
      </c>
      <c r="K222" s="2">
        <v>0</v>
      </c>
      <c r="L222"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23" spans="6:12" x14ac:dyDescent="0.3">
      <c r="F223" s="6" t="s">
        <v>23</v>
      </c>
      <c r="G223" s="7">
        <v>2024</v>
      </c>
      <c r="H223" s="6">
        <v>0.28000000000000003</v>
      </c>
      <c r="I223" s="28">
        <f>$J222</f>
        <v>232600</v>
      </c>
      <c r="J223" s="28">
        <f>MaxIncomeCell</f>
        <v>10000000</v>
      </c>
      <c r="K223" s="2">
        <f>$J222*$H222</f>
        <v>60476</v>
      </c>
      <c r="L223"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24" spans="6:12" x14ac:dyDescent="0.3">
      <c r="F224" s="6" t="s">
        <v>139</v>
      </c>
      <c r="G224" s="7">
        <v>2024</v>
      </c>
      <c r="H224" s="6">
        <v>0.26</v>
      </c>
      <c r="I224" s="28">
        <v>0</v>
      </c>
      <c r="J224" s="28">
        <v>232600</v>
      </c>
      <c r="K224" s="2">
        <v>0</v>
      </c>
      <c r="L224"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25" spans="6:12" x14ac:dyDescent="0.3">
      <c r="F225" s="6" t="s">
        <v>139</v>
      </c>
      <c r="G225" s="7">
        <v>2024</v>
      </c>
      <c r="H225" s="6">
        <v>0.28000000000000003</v>
      </c>
      <c r="I225" s="28">
        <f>$J224</f>
        <v>232600</v>
      </c>
      <c r="J225" s="28">
        <f>MaxIncomeCell</f>
        <v>10000000</v>
      </c>
      <c r="K225" s="2">
        <f>$J224*$H224</f>
        <v>60476</v>
      </c>
      <c r="L225"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26" spans="6:12" x14ac:dyDescent="0.3">
      <c r="F226" s="6" t="s">
        <v>141</v>
      </c>
      <c r="G226" s="7">
        <v>2024</v>
      </c>
      <c r="H226" s="6">
        <v>0.26</v>
      </c>
      <c r="I226" s="28">
        <v>0</v>
      </c>
      <c r="J226" s="28">
        <v>116300</v>
      </c>
      <c r="K226" s="2">
        <v>0</v>
      </c>
      <c r="L226"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27" spans="6:12" x14ac:dyDescent="0.3">
      <c r="F227" s="6" t="s">
        <v>141</v>
      </c>
      <c r="G227" s="7">
        <v>2024</v>
      </c>
      <c r="H227" s="6">
        <v>0.28000000000000003</v>
      </c>
      <c r="I227" s="28">
        <f>$J226</f>
        <v>116300</v>
      </c>
      <c r="J227" s="28">
        <f>MaxIncomeCell</f>
        <v>10000000</v>
      </c>
      <c r="K227" s="2">
        <f>$J226*$H226</f>
        <v>30238</v>
      </c>
      <c r="L227"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28" spans="6:12" x14ac:dyDescent="0.3">
      <c r="F228" s="6" t="s">
        <v>142</v>
      </c>
      <c r="G228" s="7">
        <v>2024</v>
      </c>
      <c r="H228" s="6">
        <v>0.26</v>
      </c>
      <c r="I228" s="28">
        <v>0</v>
      </c>
      <c r="J228" s="28">
        <v>232600</v>
      </c>
      <c r="K228" s="2">
        <v>0</v>
      </c>
      <c r="L228"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29" spans="6:12" x14ac:dyDescent="0.3">
      <c r="F229" s="6" t="s">
        <v>142</v>
      </c>
      <c r="G229" s="7">
        <v>2024</v>
      </c>
      <c r="H229" s="6">
        <v>0.28000000000000003</v>
      </c>
      <c r="I229" s="28">
        <f>$J228</f>
        <v>232600</v>
      </c>
      <c r="J229" s="28">
        <f>MaxIncomeCell</f>
        <v>10000000</v>
      </c>
      <c r="K229" s="2">
        <f>$J228*$H228</f>
        <v>60476</v>
      </c>
      <c r="L229"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30" spans="6:12" x14ac:dyDescent="0.3">
      <c r="F230" s="29"/>
      <c r="G230" s="7"/>
      <c r="H230" s="6"/>
      <c r="I230" s="28"/>
      <c r="J230" s="28"/>
      <c r="K230" s="2"/>
      <c r="L230"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31" spans="6:12" x14ac:dyDescent="0.3">
      <c r="F231" s="6" t="s">
        <v>23</v>
      </c>
      <c r="G231" s="7">
        <v>2025</v>
      </c>
      <c r="H231" s="6">
        <v>0.26</v>
      </c>
      <c r="I231" s="28">
        <v>0</v>
      </c>
      <c r="J231" s="28">
        <v>239100</v>
      </c>
      <c r="K231" s="2">
        <v>0</v>
      </c>
      <c r="L231"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1</v>
      </c>
    </row>
    <row r="232" spans="6:12" x14ac:dyDescent="0.3">
      <c r="F232" s="6" t="s">
        <v>23</v>
      </c>
      <c r="G232" s="7">
        <v>2025</v>
      </c>
      <c r="H232" s="6">
        <v>0.28000000000000003</v>
      </c>
      <c r="I232" s="28">
        <f>$J231</f>
        <v>239100</v>
      </c>
      <c r="J232" s="28">
        <f>MaxIncomeCell</f>
        <v>10000000</v>
      </c>
      <c r="K232" s="2">
        <f>$J231*$H231</f>
        <v>62166</v>
      </c>
      <c r="L232"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33" spans="6:12" x14ac:dyDescent="0.3">
      <c r="F233" s="6" t="s">
        <v>139</v>
      </c>
      <c r="G233" s="7">
        <v>2025</v>
      </c>
      <c r="H233" s="6">
        <v>0.26</v>
      </c>
      <c r="I233" s="28">
        <v>0</v>
      </c>
      <c r="J233" s="28">
        <v>239100</v>
      </c>
      <c r="K233" s="2">
        <v>0</v>
      </c>
      <c r="L233"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34" spans="6:12" x14ac:dyDescent="0.3">
      <c r="F234" s="6" t="s">
        <v>139</v>
      </c>
      <c r="G234" s="7">
        <v>2025</v>
      </c>
      <c r="H234" s="6">
        <v>0.28000000000000003</v>
      </c>
      <c r="I234" s="28">
        <f>$J233</f>
        <v>239100</v>
      </c>
      <c r="J234" s="28">
        <f>MaxIncomeCell</f>
        <v>10000000</v>
      </c>
      <c r="K234" s="2">
        <f>$J233*$H233</f>
        <v>62166</v>
      </c>
      <c r="L234"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35" spans="6:12" x14ac:dyDescent="0.3">
      <c r="F235" s="6" t="s">
        <v>141</v>
      </c>
      <c r="G235" s="7">
        <v>2025</v>
      </c>
      <c r="H235" s="6">
        <v>0.26</v>
      </c>
      <c r="I235" s="28">
        <v>0</v>
      </c>
      <c r="J235" s="28">
        <v>119550</v>
      </c>
      <c r="K235" s="2">
        <v>0</v>
      </c>
      <c r="L235"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36" spans="6:12" x14ac:dyDescent="0.3">
      <c r="F236" s="6" t="s">
        <v>141</v>
      </c>
      <c r="G236" s="7">
        <v>2025</v>
      </c>
      <c r="H236" s="6">
        <v>0.28000000000000003</v>
      </c>
      <c r="I236" s="28">
        <f>$J235</f>
        <v>119550</v>
      </c>
      <c r="J236" s="28">
        <f>MaxIncomeCell</f>
        <v>10000000</v>
      </c>
      <c r="K236" s="2">
        <f>$J235*$H235</f>
        <v>31083</v>
      </c>
      <c r="L236"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37" spans="6:12" x14ac:dyDescent="0.3">
      <c r="F237" s="6" t="s">
        <v>142</v>
      </c>
      <c r="G237" s="7">
        <v>2025</v>
      </c>
      <c r="H237" s="6">
        <v>0.26</v>
      </c>
      <c r="I237" s="28">
        <v>0</v>
      </c>
      <c r="J237" s="28">
        <v>239100</v>
      </c>
      <c r="K237" s="2">
        <v>0</v>
      </c>
      <c r="L237"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38" spans="6:12" x14ac:dyDescent="0.3">
      <c r="F238" s="6" t="s">
        <v>142</v>
      </c>
      <c r="G238" s="7">
        <v>2025</v>
      </c>
      <c r="H238" s="6">
        <v>0.28000000000000003</v>
      </c>
      <c r="I238" s="28">
        <f>$J237</f>
        <v>239100</v>
      </c>
      <c r="J238" s="28">
        <f>MaxIncomeCell</f>
        <v>10000000</v>
      </c>
      <c r="K238" s="2">
        <f>$J237*$H237</f>
        <v>62166</v>
      </c>
      <c r="L238"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39" spans="6:12" x14ac:dyDescent="0.3">
      <c r="F239" s="91"/>
      <c r="G239" s="7"/>
      <c r="H239" s="6"/>
      <c r="I239" s="28"/>
      <c r="J239" s="28"/>
      <c r="K239" s="2"/>
      <c r="L239"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40" spans="6:12" x14ac:dyDescent="0.3">
      <c r="F240" s="91" t="s">
        <v>23</v>
      </c>
      <c r="G240" s="7">
        <v>2026</v>
      </c>
      <c r="H240" s="6">
        <v>0.26</v>
      </c>
      <c r="I240" s="28">
        <v>0</v>
      </c>
      <c r="J240" s="28">
        <v>244500</v>
      </c>
      <c r="K240" s="2">
        <v>0</v>
      </c>
      <c r="L240"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41" spans="6:13" x14ac:dyDescent="0.3">
      <c r="F241" s="91" t="s">
        <v>23</v>
      </c>
      <c r="G241" s="7">
        <v>2026</v>
      </c>
      <c r="H241" s="6">
        <v>0.28000000000000003</v>
      </c>
      <c r="I241" s="28">
        <f>$J240</f>
        <v>244500</v>
      </c>
      <c r="J241" s="28">
        <f>MaxIncomeCell</f>
        <v>10000000</v>
      </c>
      <c r="K241" s="2">
        <f>$J240*$H240</f>
        <v>63570</v>
      </c>
      <c r="L241"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42" spans="6:13" x14ac:dyDescent="0.3">
      <c r="F242" s="91" t="s">
        <v>139</v>
      </c>
      <c r="G242" s="7">
        <v>2026</v>
      </c>
      <c r="H242" s="6">
        <v>0.26</v>
      </c>
      <c r="I242" s="28">
        <v>0</v>
      </c>
      <c r="J242" s="28">
        <v>244500</v>
      </c>
      <c r="K242" s="2">
        <v>0</v>
      </c>
      <c r="L242"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43" spans="6:13" x14ac:dyDescent="0.3">
      <c r="F243" s="91" t="s">
        <v>139</v>
      </c>
      <c r="G243" s="7">
        <v>2026</v>
      </c>
      <c r="H243" s="6">
        <v>0.28000000000000003</v>
      </c>
      <c r="I243" s="28">
        <f>$J242</f>
        <v>244500</v>
      </c>
      <c r="J243" s="28">
        <f>MaxIncomeCell</f>
        <v>10000000</v>
      </c>
      <c r="K243" s="2">
        <f>$J242*$H242</f>
        <v>63570</v>
      </c>
      <c r="L243"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44" spans="6:13" x14ac:dyDescent="0.3">
      <c r="F244" s="91" t="s">
        <v>141</v>
      </c>
      <c r="G244" s="7">
        <v>2026</v>
      </c>
      <c r="H244" s="6">
        <v>0.26</v>
      </c>
      <c r="I244" s="28">
        <v>0</v>
      </c>
      <c r="J244" s="28">
        <v>122250</v>
      </c>
      <c r="K244" s="2">
        <v>0</v>
      </c>
      <c r="L244"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45" spans="6:13" x14ac:dyDescent="0.3">
      <c r="F245" s="91" t="s">
        <v>141</v>
      </c>
      <c r="G245" s="7">
        <v>2026</v>
      </c>
      <c r="H245" s="6">
        <v>0.28000000000000003</v>
      </c>
      <c r="I245" s="28">
        <f>$J244</f>
        <v>122250</v>
      </c>
      <c r="J245" s="28">
        <f>MaxIncomeCell</f>
        <v>10000000</v>
      </c>
      <c r="K245" s="2">
        <f>$J244*$H244</f>
        <v>31785</v>
      </c>
      <c r="L245"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46" spans="6:13" x14ac:dyDescent="0.3">
      <c r="F246" s="91" t="s">
        <v>142</v>
      </c>
      <c r="G246" s="7">
        <v>2026</v>
      </c>
      <c r="H246" s="6">
        <v>0.26</v>
      </c>
      <c r="I246" s="28">
        <v>0</v>
      </c>
      <c r="J246" s="28">
        <v>244500</v>
      </c>
      <c r="K246" s="2">
        <v>0</v>
      </c>
      <c r="L246"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47" spans="6:13" x14ac:dyDescent="0.3">
      <c r="F247" s="91" t="s">
        <v>142</v>
      </c>
      <c r="G247" s="7">
        <v>2026</v>
      </c>
      <c r="H247" s="6">
        <v>0.28000000000000003</v>
      </c>
      <c r="I247" s="28">
        <f>$J246</f>
        <v>244500</v>
      </c>
      <c r="J247" s="28">
        <f>MaxIncomeCell</f>
        <v>10000000</v>
      </c>
      <c r="K247" s="2">
        <f>$J246*$H246</f>
        <v>63570</v>
      </c>
      <c r="L247" t="b">
        <f xml:space="preserve"> AND(
    (AlternativeMinimumTaxRateTable[[#This Row],[Tax Year]] = EstimateInputTaxYearCell),
    (AlternativeMinimumTaxRateTable[[#This Row],[Status LabelId]] = EstimateInputFilingStatusCell),
    (AlternativeMinimumTaxRateTable[[#This Row],[RangeStart]] &lt;= Estimator!$G$95),
    (AlternativeMinimumTaxRateTable[[#This Row],[RangeEnd]] &gt; Estimator!$G$95)
)</f>
        <v>0</v>
      </c>
    </row>
    <row r="251" spans="6:13" x14ac:dyDescent="0.3">
      <c r="F251" s="27" t="str">
        <f ca="1">_xlfn.LET(
    _xlpm.HandleFormulaText, _xlfn.FORMULATEXT(H251),
    MID(_xlpm.HandleFormulaText, 2, FIND("[", _xlpm.HandleFormulaText) - 2)
)</f>
        <v>LongTermCapitalGainsTaxRateTable</v>
      </c>
      <c r="G251" s="13" t="s">
        <v>128</v>
      </c>
      <c r="H251" s="14" t="str">
        <f>LongTermCapitalGainsTaxRateTable[[#Headers],[LTCG Rate]]</f>
        <v>LTCG Rate</v>
      </c>
    </row>
    <row r="252" spans="6:13" x14ac:dyDescent="0.3">
      <c r="L252" s="16" t="str">
        <f xml:space="preserve"> _xlfn.LET(
    _xlpm.CountSelected, COUNTIF(LongTermCapitalGainsTaxRateTable[IsBracketStart], TRUE),
    IF( _xlpm.CountSelected = 1, SelectionValidLabelCell, "Error: " &amp; _xlpm.CountSelected &amp; " rows selected")
)</f>
        <v>Valid</v>
      </c>
      <c r="M252" s="16" t="str">
        <f xml:space="preserve"> _xlfn.LET(
    _xlpm.CountSelected, COUNTIF(LongTermCapitalGainsTaxRateTable[IsBracketEnd], TRUE),
    IF( _xlpm.CountSelected = 1, SelectionValidLabelCell, "Error: " &amp; _xlpm.CountSelected &amp; " rows selected")
)</f>
        <v>Valid</v>
      </c>
    </row>
    <row r="253" spans="6:13" x14ac:dyDescent="0.3">
      <c r="F253" s="24" t="s">
        <v>148</v>
      </c>
      <c r="G253" s="24" t="s">
        <v>143</v>
      </c>
      <c r="H253" s="24" t="s">
        <v>158</v>
      </c>
      <c r="I253" s="24" t="s">
        <v>145</v>
      </c>
      <c r="J253" s="24" t="s">
        <v>146</v>
      </c>
      <c r="K253" s="24" t="s">
        <v>147</v>
      </c>
      <c r="L253" s="24" t="s">
        <v>159</v>
      </c>
      <c r="M253" s="24" t="s">
        <v>160</v>
      </c>
    </row>
    <row r="254" spans="6:13" x14ac:dyDescent="0.3">
      <c r="F254" s="6" t="s">
        <v>23</v>
      </c>
      <c r="G254" s="7">
        <v>2024</v>
      </c>
      <c r="H254" s="6">
        <v>0</v>
      </c>
      <c r="I254" s="28">
        <v>0</v>
      </c>
      <c r="J254" s="28">
        <v>47025</v>
      </c>
      <c r="K254" s="2">
        <v>0</v>
      </c>
      <c r="L254"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54"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55" spans="6:13" x14ac:dyDescent="0.3">
      <c r="F255" s="6" t="s">
        <v>23</v>
      </c>
      <c r="G255" s="7">
        <v>2024</v>
      </c>
      <c r="H255" s="6">
        <v>0.15</v>
      </c>
      <c r="I255" s="28">
        <f t="shared" ref="I255:I256" si="24">$J254</f>
        <v>47025</v>
      </c>
      <c r="J255" s="28">
        <v>518900</v>
      </c>
      <c r="K255" s="2">
        <f xml:space="preserve"> $K254 + ($J254 - $I254) * $H254</f>
        <v>0</v>
      </c>
      <c r="L255"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55"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56" spans="6:13" x14ac:dyDescent="0.3">
      <c r="F256" s="6" t="s">
        <v>23</v>
      </c>
      <c r="G256" s="7">
        <v>2024</v>
      </c>
      <c r="H256" s="6">
        <v>0.2</v>
      </c>
      <c r="I256" s="28">
        <f t="shared" si="24"/>
        <v>518900</v>
      </c>
      <c r="J256" s="28">
        <f>MaxIncomeCell</f>
        <v>10000000</v>
      </c>
      <c r="K256" s="2">
        <f xml:space="preserve"> $K255 + ($J255 - $I255) * $H255</f>
        <v>70781.25</v>
      </c>
      <c r="L256"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56"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57" spans="6:13" x14ac:dyDescent="0.3">
      <c r="F257" s="6" t="s">
        <v>139</v>
      </c>
      <c r="G257" s="7">
        <v>2024</v>
      </c>
      <c r="H257" s="6">
        <v>0</v>
      </c>
      <c r="I257" s="28">
        <v>0</v>
      </c>
      <c r="J257" s="28">
        <v>94050</v>
      </c>
      <c r="K257" s="2">
        <v>0</v>
      </c>
      <c r="L257"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57"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58" spans="6:13" x14ac:dyDescent="0.3">
      <c r="F258" s="6" t="s">
        <v>139</v>
      </c>
      <c r="G258" s="7">
        <v>2024</v>
      </c>
      <c r="H258" s="6">
        <v>0.15</v>
      </c>
      <c r="I258" s="28">
        <f t="shared" ref="I258:I259" si="25">$J257</f>
        <v>94050</v>
      </c>
      <c r="J258" s="28">
        <v>583750</v>
      </c>
      <c r="K258" s="2">
        <f xml:space="preserve"> $K257 + ($J257 - $I257) * $H257</f>
        <v>0</v>
      </c>
      <c r="L258"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58"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59" spans="6:13" x14ac:dyDescent="0.3">
      <c r="F259" s="6" t="s">
        <v>139</v>
      </c>
      <c r="G259" s="7">
        <v>2024</v>
      </c>
      <c r="H259" s="6">
        <v>0.2</v>
      </c>
      <c r="I259" s="28">
        <f t="shared" si="25"/>
        <v>583750</v>
      </c>
      <c r="J259" s="28">
        <f>MaxIncomeCell</f>
        <v>10000000</v>
      </c>
      <c r="K259" s="2">
        <f xml:space="preserve"> $K258 + ($J258 - $I258) * $H258</f>
        <v>73455</v>
      </c>
      <c r="L259"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59"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60" spans="6:13" x14ac:dyDescent="0.3">
      <c r="F260" s="6" t="s">
        <v>141</v>
      </c>
      <c r="G260" s="7">
        <v>2024</v>
      </c>
      <c r="H260" s="6">
        <v>0</v>
      </c>
      <c r="I260" s="28">
        <v>0</v>
      </c>
      <c r="J260" s="28">
        <v>47025</v>
      </c>
      <c r="K260" s="2">
        <v>0</v>
      </c>
      <c r="L260"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60"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61" spans="6:13" x14ac:dyDescent="0.3">
      <c r="F261" s="6" t="s">
        <v>141</v>
      </c>
      <c r="G261" s="7">
        <v>2024</v>
      </c>
      <c r="H261" s="6">
        <v>0.15</v>
      </c>
      <c r="I261" s="28">
        <f t="shared" ref="I261:I262" si="26">$J260</f>
        <v>47025</v>
      </c>
      <c r="J261" s="28">
        <v>291850</v>
      </c>
      <c r="K261" s="2">
        <f xml:space="preserve"> $K260 + ($J260 - $I260) * $H260</f>
        <v>0</v>
      </c>
      <c r="L261"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61"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62" spans="6:13" x14ac:dyDescent="0.3">
      <c r="F262" s="6" t="s">
        <v>141</v>
      </c>
      <c r="G262" s="7">
        <v>2024</v>
      </c>
      <c r="H262" s="6">
        <v>0.2</v>
      </c>
      <c r="I262" s="28">
        <f t="shared" si="26"/>
        <v>291850</v>
      </c>
      <c r="J262" s="28">
        <f>MaxIncomeCell</f>
        <v>10000000</v>
      </c>
      <c r="K262" s="2">
        <f xml:space="preserve"> $K261 + ($J261 - $I261) * $H261</f>
        <v>36723.75</v>
      </c>
      <c r="L262"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62"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63" spans="6:13" x14ac:dyDescent="0.3">
      <c r="F263" s="6" t="s">
        <v>142</v>
      </c>
      <c r="G263" s="7">
        <v>2024</v>
      </c>
      <c r="H263" s="6">
        <v>0</v>
      </c>
      <c r="I263" s="28">
        <v>0</v>
      </c>
      <c r="J263" s="28">
        <v>63000</v>
      </c>
      <c r="K263" s="2">
        <v>0</v>
      </c>
      <c r="L263"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63"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64" spans="6:13" x14ac:dyDescent="0.3">
      <c r="F264" s="6" t="s">
        <v>142</v>
      </c>
      <c r="G264" s="7">
        <v>2024</v>
      </c>
      <c r="H264" s="6">
        <v>0.15</v>
      </c>
      <c r="I264" s="28">
        <f t="shared" ref="I264:I265" si="27">$J263</f>
        <v>63000</v>
      </c>
      <c r="J264" s="28">
        <v>551350</v>
      </c>
      <c r="K264" s="2">
        <f xml:space="preserve"> $K263 + ($J263 - $I263) * $H263</f>
        <v>0</v>
      </c>
      <c r="L264"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64"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65" spans="6:13" x14ac:dyDescent="0.3">
      <c r="F265" s="6" t="s">
        <v>142</v>
      </c>
      <c r="G265" s="7">
        <v>2024</v>
      </c>
      <c r="H265" s="6">
        <v>0.2</v>
      </c>
      <c r="I265" s="28">
        <f t="shared" si="27"/>
        <v>551350</v>
      </c>
      <c r="J265" s="28">
        <f>MaxIncomeCell</f>
        <v>10000000</v>
      </c>
      <c r="K265" s="2">
        <f xml:space="preserve"> $K264 + ($J264 - $I264) * $H264</f>
        <v>73252.5</v>
      </c>
      <c r="L265"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65"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66" spans="6:13" x14ac:dyDescent="0.3">
      <c r="F266" s="6"/>
      <c r="G266" s="7"/>
      <c r="I266" s="28"/>
      <c r="J266" s="28"/>
      <c r="K266" s="2"/>
      <c r="L266"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66"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67" spans="6:13" x14ac:dyDescent="0.3">
      <c r="F267" s="6" t="s">
        <v>23</v>
      </c>
      <c r="G267" s="7">
        <v>2025</v>
      </c>
      <c r="H267" s="6">
        <v>0</v>
      </c>
      <c r="I267" s="28">
        <v>0</v>
      </c>
      <c r="J267" s="28">
        <v>48350</v>
      </c>
      <c r="K267" s="2">
        <v>0</v>
      </c>
      <c r="L267"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67"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68" spans="6:13" x14ac:dyDescent="0.3">
      <c r="F268" s="6" t="s">
        <v>23</v>
      </c>
      <c r="G268" s="7">
        <v>2025</v>
      </c>
      <c r="H268" s="6">
        <v>0.15</v>
      </c>
      <c r="I268" s="28">
        <f t="shared" ref="I268:I269" si="28">$J267</f>
        <v>48350</v>
      </c>
      <c r="J268" s="28">
        <v>533400</v>
      </c>
      <c r="K268" s="2">
        <f xml:space="preserve"> $K267 + ($J267 - $I267) * $H267</f>
        <v>0</v>
      </c>
      <c r="L268"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1</v>
      </c>
      <c r="M268"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1</v>
      </c>
    </row>
    <row r="269" spans="6:13" x14ac:dyDescent="0.3">
      <c r="F269" s="6" t="s">
        <v>23</v>
      </c>
      <c r="G269" s="7">
        <v>2025</v>
      </c>
      <c r="H269" s="6">
        <v>0.2</v>
      </c>
      <c r="I269" s="28">
        <f t="shared" si="28"/>
        <v>533400</v>
      </c>
      <c r="J269" s="28">
        <f>MaxIncomeCell</f>
        <v>10000000</v>
      </c>
      <c r="K269" s="2">
        <f xml:space="preserve"> $K268 + ($J268 - $I268) * $H268</f>
        <v>72757.5</v>
      </c>
      <c r="L269"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69"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70" spans="6:13" x14ac:dyDescent="0.3">
      <c r="F270" s="6" t="s">
        <v>139</v>
      </c>
      <c r="G270" s="7">
        <v>2025</v>
      </c>
      <c r="H270" s="6">
        <v>0</v>
      </c>
      <c r="I270" s="28">
        <v>0</v>
      </c>
      <c r="J270" s="28">
        <v>96700</v>
      </c>
      <c r="K270" s="2">
        <v>0</v>
      </c>
      <c r="L270"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70"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71" spans="6:13" x14ac:dyDescent="0.3">
      <c r="F271" s="6" t="s">
        <v>139</v>
      </c>
      <c r="G271" s="7">
        <v>2025</v>
      </c>
      <c r="H271" s="6">
        <v>0.15</v>
      </c>
      <c r="I271" s="28">
        <f t="shared" ref="I271:I272" si="29">$J270</f>
        <v>96700</v>
      </c>
      <c r="J271" s="28">
        <v>600050</v>
      </c>
      <c r="K271" s="2">
        <f xml:space="preserve"> $K270 + ($J270 - $I270) * $H270</f>
        <v>0</v>
      </c>
      <c r="L271"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71"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72" spans="6:13" x14ac:dyDescent="0.3">
      <c r="F272" s="6" t="s">
        <v>139</v>
      </c>
      <c r="G272" s="7">
        <v>2025</v>
      </c>
      <c r="H272" s="6">
        <v>0.2</v>
      </c>
      <c r="I272" s="28">
        <f t="shared" si="29"/>
        <v>600050</v>
      </c>
      <c r="J272" s="28">
        <f>MaxIncomeCell</f>
        <v>10000000</v>
      </c>
      <c r="K272" s="2">
        <f xml:space="preserve"> $K271 + ($J271 - $I271) * $H271</f>
        <v>75502.5</v>
      </c>
      <c r="L272"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72"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73" spans="6:13" x14ac:dyDescent="0.3">
      <c r="F273" s="6" t="s">
        <v>141</v>
      </c>
      <c r="G273" s="7">
        <v>2025</v>
      </c>
      <c r="H273" s="6">
        <v>0</v>
      </c>
      <c r="I273" s="28">
        <v>0</v>
      </c>
      <c r="J273" s="28">
        <v>48350</v>
      </c>
      <c r="K273" s="2">
        <v>0</v>
      </c>
      <c r="L273"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73"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74" spans="6:13" x14ac:dyDescent="0.3">
      <c r="F274" s="6" t="s">
        <v>141</v>
      </c>
      <c r="G274" s="7">
        <v>2025</v>
      </c>
      <c r="H274" s="6">
        <v>0.15</v>
      </c>
      <c r="I274" s="28">
        <f t="shared" ref="I274:I275" si="30">$J273</f>
        <v>48350</v>
      </c>
      <c r="J274" s="28">
        <v>300000</v>
      </c>
      <c r="K274" s="2">
        <f xml:space="preserve"> $K273 + ($J273 - $I273) * $H273</f>
        <v>0</v>
      </c>
      <c r="L274"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74"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75" spans="6:13" x14ac:dyDescent="0.3">
      <c r="F275" s="6" t="s">
        <v>141</v>
      </c>
      <c r="G275" s="7">
        <v>2025</v>
      </c>
      <c r="H275" s="6">
        <v>0.2</v>
      </c>
      <c r="I275" s="28">
        <f t="shared" si="30"/>
        <v>300000</v>
      </c>
      <c r="J275" s="28">
        <f>MaxIncomeCell</f>
        <v>10000000</v>
      </c>
      <c r="K275" s="2">
        <f xml:space="preserve"> $K274 + ($J274 - $I274) * $H274</f>
        <v>37747.5</v>
      </c>
      <c r="L275"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75"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76" spans="6:13" x14ac:dyDescent="0.3">
      <c r="F276" s="6" t="s">
        <v>142</v>
      </c>
      <c r="G276" s="7">
        <v>2025</v>
      </c>
      <c r="H276" s="6">
        <v>0</v>
      </c>
      <c r="I276" s="28">
        <v>0</v>
      </c>
      <c r="J276" s="28">
        <v>64750</v>
      </c>
      <c r="K276" s="2">
        <v>0</v>
      </c>
      <c r="L276"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76"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77" spans="6:13" x14ac:dyDescent="0.3">
      <c r="F277" s="6" t="s">
        <v>142</v>
      </c>
      <c r="G277" s="7">
        <v>2025</v>
      </c>
      <c r="H277" s="6">
        <v>0.15</v>
      </c>
      <c r="I277" s="28">
        <f t="shared" ref="I277:I278" si="31">$J276</f>
        <v>64750</v>
      </c>
      <c r="J277" s="28">
        <v>566700</v>
      </c>
      <c r="K277" s="2">
        <f xml:space="preserve"> $K276 + ($J276 - $I276) * $H276</f>
        <v>0</v>
      </c>
      <c r="L277"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77"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78" spans="6:13" x14ac:dyDescent="0.3">
      <c r="F278" s="6" t="s">
        <v>142</v>
      </c>
      <c r="G278" s="7">
        <v>2025</v>
      </c>
      <c r="H278" s="6">
        <v>0.2</v>
      </c>
      <c r="I278" s="28">
        <f t="shared" si="31"/>
        <v>566700</v>
      </c>
      <c r="J278" s="28">
        <f>MaxIncomeCell</f>
        <v>10000000</v>
      </c>
      <c r="K278" s="2">
        <f xml:space="preserve"> $K277 + ($J277 - $I277) * $H277</f>
        <v>75292.5</v>
      </c>
      <c r="L278"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78"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79" spans="6:13" x14ac:dyDescent="0.3">
      <c r="F279" s="91"/>
      <c r="G279" s="7"/>
      <c r="I279" s="28"/>
      <c r="J279" s="28"/>
      <c r="K279" s="2"/>
      <c r="L279"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79"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80" spans="6:13" x14ac:dyDescent="0.3">
      <c r="F280" s="91" t="s">
        <v>23</v>
      </c>
      <c r="G280" s="7">
        <v>2026</v>
      </c>
      <c r="H280" s="6">
        <v>0</v>
      </c>
      <c r="I280" s="28">
        <v>0</v>
      </c>
      <c r="J280" s="28">
        <v>49450</v>
      </c>
      <c r="K280" s="2">
        <v>0</v>
      </c>
      <c r="L280"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80"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81" spans="6:13" x14ac:dyDescent="0.3">
      <c r="F281" s="91" t="s">
        <v>23</v>
      </c>
      <c r="G281" s="7">
        <v>2026</v>
      </c>
      <c r="H281" s="6">
        <v>0.15</v>
      </c>
      <c r="I281" s="28">
        <f t="shared" ref="I281:I282" si="32">$J280</f>
        <v>49450</v>
      </c>
      <c r="J281" s="28">
        <v>545500</v>
      </c>
      <c r="K281" s="2">
        <f xml:space="preserve"> $K280 + ($J280 - $I280) * $H280</f>
        <v>0</v>
      </c>
      <c r="L281"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81"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82" spans="6:13" x14ac:dyDescent="0.3">
      <c r="F282" s="91" t="s">
        <v>23</v>
      </c>
      <c r="G282" s="7">
        <v>2026</v>
      </c>
      <c r="H282" s="6">
        <v>0.2</v>
      </c>
      <c r="I282" s="28">
        <f t="shared" si="32"/>
        <v>545500</v>
      </c>
      <c r="J282" s="28">
        <f>MaxIncomeCell</f>
        <v>10000000</v>
      </c>
      <c r="K282" s="2">
        <f xml:space="preserve"> $K281 + ($J281 - $I281) * $H281</f>
        <v>74407.5</v>
      </c>
      <c r="L282"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82"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83" spans="6:13" x14ac:dyDescent="0.3">
      <c r="F283" s="91" t="s">
        <v>139</v>
      </c>
      <c r="G283" s="7">
        <v>2026</v>
      </c>
      <c r="H283" s="6">
        <v>0</v>
      </c>
      <c r="I283" s="28">
        <v>0</v>
      </c>
      <c r="J283" s="28">
        <v>98900</v>
      </c>
      <c r="K283" s="2">
        <v>0</v>
      </c>
      <c r="L283"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83"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84" spans="6:13" x14ac:dyDescent="0.3">
      <c r="F284" s="91" t="s">
        <v>139</v>
      </c>
      <c r="G284" s="7">
        <v>2026</v>
      </c>
      <c r="H284" s="6">
        <v>0.15</v>
      </c>
      <c r="I284" s="28">
        <f t="shared" ref="I284:I285" si="33">$J283</f>
        <v>98900</v>
      </c>
      <c r="J284" s="28">
        <v>613700</v>
      </c>
      <c r="K284" s="2">
        <f xml:space="preserve"> $K283 + ($J283 - $I283) * $H283</f>
        <v>0</v>
      </c>
      <c r="L284"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84"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85" spans="6:13" x14ac:dyDescent="0.3">
      <c r="F285" s="91" t="s">
        <v>139</v>
      </c>
      <c r="G285" s="7">
        <v>2026</v>
      </c>
      <c r="H285" s="6">
        <v>0.2</v>
      </c>
      <c r="I285" s="28">
        <f t="shared" si="33"/>
        <v>613700</v>
      </c>
      <c r="J285" s="28">
        <f>MaxIncomeCell</f>
        <v>10000000</v>
      </c>
      <c r="K285" s="2">
        <f xml:space="preserve"> $K284 + ($J284 - $I284) * $H284</f>
        <v>77220</v>
      </c>
      <c r="L285"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85"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86" spans="6:13" x14ac:dyDescent="0.3">
      <c r="F286" s="91" t="s">
        <v>141</v>
      </c>
      <c r="G286" s="7">
        <v>2026</v>
      </c>
      <c r="H286" s="6">
        <v>0</v>
      </c>
      <c r="I286" s="28">
        <v>0</v>
      </c>
      <c r="J286" s="28">
        <v>49450</v>
      </c>
      <c r="K286" s="2">
        <v>0</v>
      </c>
      <c r="L286"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86"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87" spans="6:13" x14ac:dyDescent="0.3">
      <c r="F287" s="91" t="s">
        <v>141</v>
      </c>
      <c r="G287" s="7">
        <v>2026</v>
      </c>
      <c r="H287" s="6">
        <v>0.15</v>
      </c>
      <c r="I287" s="28">
        <f t="shared" ref="I287:I288" si="34">$J286</f>
        <v>49450</v>
      </c>
      <c r="J287" s="28">
        <v>306850</v>
      </c>
      <c r="K287" s="2">
        <f xml:space="preserve"> $K286 + ($J286 - $I286) * $H286</f>
        <v>0</v>
      </c>
      <c r="L287"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87"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88" spans="6:13" x14ac:dyDescent="0.3">
      <c r="F288" s="91" t="s">
        <v>141</v>
      </c>
      <c r="G288" s="7">
        <v>2026</v>
      </c>
      <c r="H288" s="6">
        <v>0.2</v>
      </c>
      <c r="I288" s="28">
        <f t="shared" si="34"/>
        <v>306850</v>
      </c>
      <c r="J288" s="28">
        <f>MaxIncomeCell</f>
        <v>10000000</v>
      </c>
      <c r="K288" s="2">
        <f xml:space="preserve"> $K287 + ($J287 - $I287) * $H287</f>
        <v>38610</v>
      </c>
      <c r="L288"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88"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89" spans="6:13" x14ac:dyDescent="0.3">
      <c r="F289" s="91" t="s">
        <v>142</v>
      </c>
      <c r="G289" s="7">
        <v>2026</v>
      </c>
      <c r="H289" s="6">
        <v>0</v>
      </c>
      <c r="I289" s="28">
        <v>0</v>
      </c>
      <c r="J289" s="28">
        <v>66200</v>
      </c>
      <c r="K289" s="2">
        <v>0</v>
      </c>
      <c r="L289"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89"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90" spans="6:13" x14ac:dyDescent="0.3">
      <c r="F290" s="91" t="s">
        <v>142</v>
      </c>
      <c r="G290" s="7">
        <v>2026</v>
      </c>
      <c r="H290" s="6">
        <v>0.15</v>
      </c>
      <c r="I290" s="28">
        <f t="shared" ref="I290:I291" si="35">$J289</f>
        <v>66200</v>
      </c>
      <c r="J290" s="28">
        <v>579600</v>
      </c>
      <c r="K290" s="2">
        <f xml:space="preserve"> $K289 + ($J289 - $I289) * $H289</f>
        <v>0</v>
      </c>
      <c r="L290"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90"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row r="291" spans="6:13" x14ac:dyDescent="0.3">
      <c r="F291" s="91" t="s">
        <v>142</v>
      </c>
      <c r="G291" s="7">
        <v>2026</v>
      </c>
      <c r="H291" s="6">
        <v>0.2</v>
      </c>
      <c r="I291" s="28">
        <f t="shared" si="35"/>
        <v>579600</v>
      </c>
      <c r="J291" s="28">
        <f>MaxIncomeCell</f>
        <v>10000000</v>
      </c>
      <c r="K291" s="2">
        <f xml:space="preserve"> $K290 + ($J290 - $I290) * $H290</f>
        <v>77010</v>
      </c>
      <c r="L291" s="69" t="b">
        <f xml:space="preserve"> AND(
    (LongTermCapitalGainsTaxRateTable[[#This Row],[Tax Year]] = EstimateInputTaxYearCell),
    (LongTermCapitalGainsTaxRateTable[[#This Row],[Status LabelId]] = EstimateInputFilingStatusCell),
    (LongTermCapitalGainsTaxRateTable[[#This Row],[RangeEnd]] &gt;= Estimator!$C$113),
    OR(
        LongTermCapitalGainsTaxRateTable[[#This Row],[RangeStart]] &lt; Estimator!$C$113,
        AND(LongTermCapitalGainsTaxRateTable[[#This Row],[RangeStart]] = 0, Estimator!$C$113 = 0)
    )
)</f>
        <v>0</v>
      </c>
      <c r="M291" t="b">
        <f xml:space="preserve"> AND(
    (LongTermCapitalGainsTaxRateTable[[#This Row],[Tax Year]] = EstimateInputTaxYearCell),
    (LongTermCapitalGainsTaxRateTable[[#This Row],[Status LabelId]] = EstimateInputFilingStatusCell),
    (LongTermCapitalGainsTaxRateTable[[#This Row],[RangeEnd]] &gt;= Estimator!$C$120),
    OR(
        LongTermCapitalGainsTaxRateTable[[#This Row],[RangeStart]] &lt; Estimator!$C$120,
        AND(LongTermCapitalGainsTaxRateTable[[#This Row],[RangeStart]] = 0, Estimator!$C$120 = 0)
    )
)</f>
        <v>0</v>
      </c>
    </row>
  </sheetData>
  <phoneticPr fontId="41" type="noConversion"/>
  <conditionalFormatting sqref="C8">
    <cfRule type="expression" dxfId="39" priority="50">
      <formula xml:space="preserve"> ($C$8 = SelectionValidLabelCell)</formula>
    </cfRule>
    <cfRule type="expression" dxfId="38" priority="49">
      <formula xml:space="preserve"> ($C$8 &lt;&gt; SelectionValidLabelCell)</formula>
    </cfRule>
  </conditionalFormatting>
  <conditionalFormatting sqref="C10:C13">
    <cfRule type="cellIs" dxfId="37" priority="51" operator="equal">
      <formula>TRUE</formula>
    </cfRule>
    <cfRule type="cellIs" dxfId="36" priority="52" operator="notEqual">
      <formula>TRUE</formula>
    </cfRule>
  </conditionalFormatting>
  <conditionalFormatting sqref="C18">
    <cfRule type="expression" dxfId="35" priority="42">
      <formula xml:space="preserve"> ($C$18 = SelectionValidLabelCell)</formula>
    </cfRule>
    <cfRule type="expression" dxfId="34" priority="41">
      <formula xml:space="preserve"> ($C$18 &lt;&gt; SelectionValidLabelCell)</formula>
    </cfRule>
  </conditionalFormatting>
  <conditionalFormatting sqref="C20:C22">
    <cfRule type="cellIs" dxfId="33" priority="46" operator="notEqual">
      <formula>TRUE</formula>
    </cfRule>
    <cfRule type="cellIs" dxfId="32" priority="45" operator="equal">
      <formula>TRUE</formula>
    </cfRule>
  </conditionalFormatting>
  <conditionalFormatting sqref="I88">
    <cfRule type="expression" dxfId="31" priority="31">
      <formula xml:space="preserve"> ($I$88 &lt;&gt; SelectionValidLabelCell)</formula>
    </cfRule>
    <cfRule type="expression" dxfId="30" priority="32">
      <formula xml:space="preserve"> ($I$88 = SelectionValidLabelCell)</formula>
    </cfRule>
  </conditionalFormatting>
  <conditionalFormatting sqref="I90:I103">
    <cfRule type="cellIs" dxfId="29" priority="33" operator="equal">
      <formula>TRUE</formula>
    </cfRule>
    <cfRule type="cellIs" dxfId="28" priority="34" operator="notEqual">
      <formula>TRUE</formula>
    </cfRule>
  </conditionalFormatting>
  <conditionalFormatting sqref="J48">
    <cfRule type="expression" dxfId="27" priority="40">
      <formula xml:space="preserve"> ($J$48 = SelectionValidLabelCell)</formula>
    </cfRule>
    <cfRule type="expression" dxfId="26" priority="38">
      <formula xml:space="preserve"> ($J$48 &lt;&gt; SelectionValidLabelCell)</formula>
    </cfRule>
  </conditionalFormatting>
  <conditionalFormatting sqref="J50:J63">
    <cfRule type="cellIs" dxfId="25" priority="35" operator="equal">
      <formula>TRUE</formula>
    </cfRule>
    <cfRule type="cellIs" dxfId="24" priority="36" operator="notEqual">
      <formula>TRUE</formula>
    </cfRule>
  </conditionalFormatting>
  <conditionalFormatting sqref="K68">
    <cfRule type="expression" dxfId="23" priority="39">
      <formula xml:space="preserve"> ($K$68 = SelectionValidLabelCell)</formula>
    </cfRule>
    <cfRule type="expression" dxfId="22" priority="37">
      <formula xml:space="preserve"> ($K$68 &lt;&gt; SelectionValidLabelCell)</formula>
    </cfRule>
  </conditionalFormatting>
  <conditionalFormatting sqref="K70:K83">
    <cfRule type="cellIs" dxfId="21" priority="54" operator="equal">
      <formula>TRUE</formula>
    </cfRule>
    <cfRule type="cellIs" dxfId="20" priority="56" operator="notEqual">
      <formula>TRUE</formula>
    </cfRule>
  </conditionalFormatting>
  <conditionalFormatting sqref="K200">
    <cfRule type="expression" dxfId="19" priority="25">
      <formula xml:space="preserve"> ($K$200 &lt;&gt; SelectionValidLabelCell)</formula>
    </cfRule>
    <cfRule type="expression" dxfId="18" priority="26">
      <formula xml:space="preserve"> ($K$200 = SelectionValidLabelCell)</formula>
    </cfRule>
  </conditionalFormatting>
  <conditionalFormatting sqref="K202:K215">
    <cfRule type="cellIs" dxfId="17" priority="23" operator="equal">
      <formula>TRUE</formula>
    </cfRule>
    <cfRule type="cellIs" dxfId="16" priority="24" operator="notEqual">
      <formula>TRUE</formula>
    </cfRule>
  </conditionalFormatting>
  <conditionalFormatting sqref="L16">
    <cfRule type="expression" dxfId="15" priority="59">
      <formula xml:space="preserve"> ($L$16 = SelectionValidLabelCell)</formula>
    </cfRule>
    <cfRule type="expression" dxfId="14" priority="57">
      <formula xml:space="preserve"> ($L$16 &lt;&gt; SelectionValidLabelCell)</formula>
    </cfRule>
  </conditionalFormatting>
  <conditionalFormatting sqref="L18:L44">
    <cfRule type="cellIs" dxfId="13" priority="53" operator="equal">
      <formula>TRUE</formula>
    </cfRule>
    <cfRule type="cellIs" dxfId="12" priority="55" operator="notEqual">
      <formula>TRUE</formula>
    </cfRule>
  </conditionalFormatting>
  <conditionalFormatting sqref="L108">
    <cfRule type="expression" dxfId="11" priority="30">
      <formula xml:space="preserve"> ($L$108 = SelectionValidLabelCell)</formula>
    </cfRule>
    <cfRule type="expression" dxfId="10" priority="29">
      <formula xml:space="preserve"> ($L$108 &lt;&gt; SelectionValidLabelCell)</formula>
    </cfRule>
  </conditionalFormatting>
  <conditionalFormatting sqref="L110:L195">
    <cfRule type="cellIs" dxfId="9" priority="28" operator="notEqual">
      <formula>TRUE</formula>
    </cfRule>
    <cfRule type="cellIs" dxfId="8" priority="27" operator="equal">
      <formula>TRUE</formula>
    </cfRule>
  </conditionalFormatting>
  <conditionalFormatting sqref="L220">
    <cfRule type="expression" dxfId="7" priority="21">
      <formula xml:space="preserve"> ($L$220 &lt;&gt; SelectionValidLabelCell)</formula>
    </cfRule>
    <cfRule type="expression" dxfId="6" priority="22">
      <formula xml:space="preserve"> ($L$220 = SelectionValidLabelCell)</formula>
    </cfRule>
  </conditionalFormatting>
  <conditionalFormatting sqref="L222:L247">
    <cfRule type="cellIs" dxfId="5" priority="20" operator="notEqual">
      <formula>TRUE</formula>
    </cfRule>
    <cfRule type="cellIs" dxfId="4" priority="19" operator="equal">
      <formula>TRUE</formula>
    </cfRule>
  </conditionalFormatting>
  <conditionalFormatting sqref="L252:M252">
    <cfRule type="expression" dxfId="3" priority="4">
      <formula xml:space="preserve"> (L$252 = SelectionValidLabelCell)</formula>
    </cfRule>
    <cfRule type="expression" dxfId="2" priority="3">
      <formula xml:space="preserve"> (L$252 &lt;&gt; SelectionValidLabelCell)</formula>
    </cfRule>
  </conditionalFormatting>
  <conditionalFormatting sqref="L254:M291">
    <cfRule type="cellIs" dxfId="1" priority="2" operator="equal">
      <formula>FALSE</formula>
    </cfRule>
    <cfRule type="cellIs" dxfId="0" priority="1" operator="equal">
      <formula>TRUE</formula>
    </cfRule>
  </conditionalFormatting>
  <dataValidations disablePrompts="1" count="3">
    <dataValidation type="list" showInputMessage="1" showErrorMessage="1" sqref="G231:G238 G222:G229 G18:G25 G27:G34 G36:G44 G240:G247" xr:uid="{F21B7136-6291-4745-B85C-97DF8580CEE1}">
      <formula1>INDIRECT("SupportedYearsTable[Tax Year]")</formula1>
    </dataValidation>
    <dataValidation type="list" allowBlank="1" showInputMessage="1" showErrorMessage="1" sqref="G26 G35 G50:G63 G70:G83 G110:G195 G230 G90:G103 G239 G202:G215 G254:G291" xr:uid="{4A91861D-EFA2-455D-A3DF-27D70B208AF4}">
      <formula1>INDIRECT("SupportedYearsTable[Tax Year]")</formula1>
    </dataValidation>
    <dataValidation type="list" allowBlank="1" showInputMessage="1" showErrorMessage="1" errorTitle="Invalid Filing Status!" sqref="F254:F291 F50:F63 F70:F83 F90:F103 F202:F215 F222:F247 F110:F195 F18:F44" xr:uid="{C2490CA9-90B1-479B-9898-FBC90E434CA7}">
      <formula1>INDIRECT("FilingStatusTable[Filing Status]")</formula1>
    </dataValidation>
  </dataValidations>
  <hyperlinks>
    <hyperlink ref="C4" r:id="rId1" xr:uid="{7C6F2751-9E4F-4589-A43D-E89DC3CEB5B7}"/>
  </hyperlinks>
  <pageMargins left="0.7" right="0.7" top="0.75" bottom="0.75" header="0.3" footer="0.3"/>
  <tableParts count="10">
    <tablePart r:id="rId2"/>
    <tablePart r:id="rId3"/>
    <tablePart r:id="rId4"/>
    <tablePart r:id="rId5"/>
    <tablePart r:id="rId6"/>
    <tablePart r:id="rId7"/>
    <tablePart r:id="rId8"/>
    <tablePart r:id="rId9"/>
    <tablePart r:id="rId10"/>
    <tablePart r:id="rId1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7</vt:i4>
      </vt:variant>
    </vt:vector>
  </HeadingPairs>
  <TitlesOfParts>
    <vt:vector size="10" baseType="lpstr">
      <vt:lpstr>ReadMe</vt:lpstr>
      <vt:lpstr>Estimator</vt:lpstr>
      <vt:lpstr>Parameters</vt:lpstr>
      <vt:lpstr>EstimateInputFilingStatusCell</vt:lpstr>
      <vt:lpstr>EstimateInputTaxYearCell</vt:lpstr>
      <vt:lpstr>InRangeLabelCell</vt:lpstr>
      <vt:lpstr>MaxIncomeCell</vt:lpstr>
      <vt:lpstr>NotFoundLabelCell</vt:lpstr>
      <vt:lpstr>OutOfRangeLabelCell</vt:lpstr>
      <vt:lpstr>SelectionValidLabelCell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Greg P</dc:creator>
  <cp:keywords/>
  <dc:description/>
  <cp:lastModifiedBy>Greg P</cp:lastModifiedBy>
  <cp:revision/>
  <dcterms:created xsi:type="dcterms:W3CDTF">2025-04-17T22:12:42Z</dcterms:created>
  <dcterms:modified xsi:type="dcterms:W3CDTF">2026-01-08T04:56:07Z</dcterms:modified>
  <cp:category/>
  <cp:contentStatus/>
</cp:coreProperties>
</file>