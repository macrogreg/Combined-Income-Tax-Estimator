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d.docs.live.net/ab913e7457364688/Documents/"/>
    </mc:Choice>
  </mc:AlternateContent>
  <xr:revisionPtr revIDLastSave="0" documentId="8_{AC3D1E9F-2F0D-45CF-A5F4-49429CE23319}" xr6:coauthVersionLast="47" xr6:coauthVersionMax="47" xr10:uidLastSave="{00000000-0000-0000-0000-000000000000}"/>
  <bookViews>
    <workbookView xWindow="18636" yWindow="492" windowWidth="26892" windowHeight="22536" xr2:uid="{F29755CA-56C7-4287-B0E1-95271A5704F5}"/>
  </bookViews>
  <sheets>
    <sheet name="ReadMe" sheetId="3" r:id="rId1"/>
    <sheet name="Estimator" sheetId="1" r:id="rId2"/>
    <sheet name="Parameters" sheetId="2" r:id="rId3"/>
  </sheets>
  <definedNames>
    <definedName name="EstimateInputFilingStatusCell">Estimator!$G$8</definedName>
    <definedName name="EstimateInputTaxYearCell">Estimator!$C$8</definedName>
    <definedName name="InRangeLabelCell">Parameters!$G$6</definedName>
    <definedName name="MaxIncomeCell">Parameters!$G$10</definedName>
    <definedName name="NotFoundLabelCell">Parameters!$G$8</definedName>
    <definedName name="OutOfRangeLabelCell">Parameters!$G$7</definedName>
    <definedName name="SelectionValidLabelCell">Parameters!$G$9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 i="1" l="1"/>
  <c r="B105" i="1"/>
  <c r="K209" i="2"/>
  <c r="K210" i="2" s="1"/>
  <c r="K206" i="2"/>
  <c r="K207" i="2" s="1"/>
  <c r="K203" i="2"/>
  <c r="K200" i="2"/>
  <c r="K201" i="2" s="1"/>
  <c r="J210" i="2"/>
  <c r="I210" i="2"/>
  <c r="I209" i="2"/>
  <c r="J207" i="2"/>
  <c r="I207" i="2"/>
  <c r="I206" i="2"/>
  <c r="J204" i="2"/>
  <c r="I204" i="2"/>
  <c r="I203" i="2"/>
  <c r="J201" i="2"/>
  <c r="I201" i="2"/>
  <c r="I200" i="2"/>
  <c r="J197" i="2"/>
  <c r="J194" i="2"/>
  <c r="J191" i="2"/>
  <c r="J188" i="2"/>
  <c r="I187" i="2"/>
  <c r="I197" i="2"/>
  <c r="K196" i="2"/>
  <c r="I196" i="2"/>
  <c r="I194" i="2"/>
  <c r="K193" i="2"/>
  <c r="I193" i="2"/>
  <c r="I191" i="2"/>
  <c r="K190" i="2"/>
  <c r="I190" i="2"/>
  <c r="I188" i="2"/>
  <c r="K187" i="2"/>
  <c r="H183" i="2"/>
  <c r="D121" i="1"/>
  <c r="D114" i="1"/>
  <c r="D112" i="1"/>
  <c r="D119" i="1"/>
  <c r="D50" i="1"/>
  <c r="D49" i="1"/>
  <c r="D48" i="1"/>
  <c r="D105" i="1"/>
  <c r="D47" i="1"/>
  <c r="F183" i="2"/>
  <c r="D123" i="1"/>
  <c r="D107" i="1"/>
  <c r="K204" i="2" l="1"/>
  <c r="K191" i="2"/>
  <c r="K197" i="2"/>
  <c r="K194" i="2"/>
  <c r="K188" i="2"/>
  <c r="J148" i="2"/>
  <c r="J149" i="2"/>
  <c r="J150" i="2"/>
  <c r="J151" i="2"/>
  <c r="J152" i="2"/>
  <c r="J153" i="2"/>
  <c r="J154" i="2"/>
  <c r="J155" i="2"/>
  <c r="J156" i="2"/>
  <c r="I70" i="2"/>
  <c r="I71" i="2"/>
  <c r="I72" i="2"/>
  <c r="I73" i="2"/>
  <c r="I74" i="2"/>
  <c r="I75" i="2"/>
  <c r="I76" i="2"/>
  <c r="I77" i="2"/>
  <c r="I78" i="2"/>
  <c r="K55" i="2"/>
  <c r="K56" i="2"/>
  <c r="K57" i="2"/>
  <c r="K58" i="2"/>
  <c r="K59" i="2"/>
  <c r="K60" i="2"/>
  <c r="K61" i="2"/>
  <c r="K62" i="2"/>
  <c r="K63" i="2"/>
  <c r="J40" i="2"/>
  <c r="J41" i="2"/>
  <c r="J42" i="2"/>
  <c r="J43" i="2"/>
  <c r="J44" i="2"/>
  <c r="J45" i="2"/>
  <c r="J46" i="2"/>
  <c r="J47" i="2"/>
  <c r="J48" i="2"/>
  <c r="K164" i="2"/>
  <c r="J164" i="2"/>
  <c r="K179" i="2"/>
  <c r="J179" i="2"/>
  <c r="I179" i="2"/>
  <c r="K177" i="2"/>
  <c r="J177" i="2"/>
  <c r="I177" i="2"/>
  <c r="K175" i="2"/>
  <c r="J175" i="2"/>
  <c r="I175" i="2"/>
  <c r="K173" i="2"/>
  <c r="J173" i="2"/>
  <c r="I173" i="2"/>
  <c r="K170" i="2"/>
  <c r="J170" i="2"/>
  <c r="I170" i="2"/>
  <c r="K168" i="2"/>
  <c r="J168" i="2"/>
  <c r="I168" i="2"/>
  <c r="K166" i="2"/>
  <c r="J166" i="2"/>
  <c r="I166" i="2"/>
  <c r="I164" i="2"/>
  <c r="H160" i="2"/>
  <c r="H145" i="2"/>
  <c r="F80" i="1"/>
  <c r="F77" i="1"/>
  <c r="F76" i="1"/>
  <c r="F75" i="1"/>
  <c r="B46" i="1"/>
  <c r="B49" i="1"/>
  <c r="B50" i="1"/>
  <c r="B48" i="1"/>
  <c r="J78" i="1"/>
  <c r="J76" i="1"/>
  <c r="J75" i="1"/>
  <c r="J141" i="2"/>
  <c r="I141" i="2"/>
  <c r="I140" i="2"/>
  <c r="I139" i="2"/>
  <c r="I138" i="2"/>
  <c r="I137" i="2"/>
  <c r="K136" i="2"/>
  <c r="I136" i="2"/>
  <c r="J134" i="2"/>
  <c r="I134" i="2"/>
  <c r="I133" i="2"/>
  <c r="I132" i="2"/>
  <c r="I131" i="2"/>
  <c r="I130" i="2"/>
  <c r="K129" i="2"/>
  <c r="I129" i="2"/>
  <c r="J127" i="2"/>
  <c r="I127" i="2"/>
  <c r="I126" i="2"/>
  <c r="I125" i="2"/>
  <c r="I124" i="2"/>
  <c r="I123" i="2"/>
  <c r="K122" i="2"/>
  <c r="I122" i="2"/>
  <c r="J120" i="2"/>
  <c r="I120" i="2"/>
  <c r="I119" i="2"/>
  <c r="I118" i="2"/>
  <c r="I117" i="2"/>
  <c r="I116" i="2"/>
  <c r="K115" i="2"/>
  <c r="I115" i="2"/>
  <c r="J98" i="2"/>
  <c r="J112" i="2"/>
  <c r="I112" i="2"/>
  <c r="I111" i="2"/>
  <c r="I110" i="2"/>
  <c r="I109" i="2"/>
  <c r="I108" i="2"/>
  <c r="K107" i="2"/>
  <c r="I107" i="2"/>
  <c r="J105" i="2"/>
  <c r="I105" i="2"/>
  <c r="I104" i="2"/>
  <c r="I103" i="2"/>
  <c r="I102" i="2"/>
  <c r="I101" i="2"/>
  <c r="K100" i="2"/>
  <c r="I100" i="2"/>
  <c r="I98" i="2"/>
  <c r="I97" i="2"/>
  <c r="I96" i="2"/>
  <c r="I95" i="2"/>
  <c r="I94" i="2"/>
  <c r="K93" i="2"/>
  <c r="I93" i="2"/>
  <c r="K86" i="2"/>
  <c r="J91" i="2"/>
  <c r="I91" i="2"/>
  <c r="I89" i="2"/>
  <c r="I87" i="2"/>
  <c r="I90" i="2"/>
  <c r="I88" i="2"/>
  <c r="I86" i="2"/>
  <c r="H82" i="2"/>
  <c r="F46" i="1"/>
  <c r="F45" i="1"/>
  <c r="B81" i="1"/>
  <c r="B80" i="1"/>
  <c r="B77" i="1"/>
  <c r="B76" i="1"/>
  <c r="B75" i="1"/>
  <c r="H67" i="2"/>
  <c r="B36" i="1"/>
  <c r="B35" i="1"/>
  <c r="B34" i="1"/>
  <c r="B33" i="1"/>
  <c r="F37" i="1"/>
  <c r="F36" i="1"/>
  <c r="F35" i="1"/>
  <c r="F34" i="1"/>
  <c r="F33" i="1"/>
  <c r="H37" i="2"/>
  <c r="C9" i="2"/>
  <c r="C10" i="2"/>
  <c r="C11" i="2"/>
  <c r="C12" i="2"/>
  <c r="C19" i="2"/>
  <c r="C20" i="2"/>
  <c r="G16" i="1"/>
  <c r="G37" i="1" s="1"/>
  <c r="K25" i="1"/>
  <c r="L25" i="1" s="1"/>
  <c r="G25" i="1"/>
  <c r="C105" i="1" s="1"/>
  <c r="C25" i="1"/>
  <c r="C34" i="1" s="1"/>
  <c r="I33" i="2"/>
  <c r="I31" i="2"/>
  <c r="I29" i="2"/>
  <c r="I27" i="2"/>
  <c r="I24" i="2"/>
  <c r="I22" i="2"/>
  <c r="I20" i="2"/>
  <c r="I18" i="2"/>
  <c r="H52" i="2"/>
  <c r="K33" i="2"/>
  <c r="J33" i="2"/>
  <c r="H33" i="2"/>
  <c r="K31" i="2"/>
  <c r="J31" i="2"/>
  <c r="H31" i="2"/>
  <c r="K29" i="2"/>
  <c r="J29" i="2"/>
  <c r="H29" i="2"/>
  <c r="K27" i="2"/>
  <c r="J27" i="2"/>
  <c r="H27" i="2"/>
  <c r="K24" i="2"/>
  <c r="K22" i="2"/>
  <c r="J24" i="2"/>
  <c r="J22" i="2"/>
  <c r="H24" i="2"/>
  <c r="H22" i="2"/>
  <c r="D16" i="2"/>
  <c r="D35" i="1"/>
  <c r="F37" i="2"/>
  <c r="D81" i="1"/>
  <c r="D75" i="1"/>
  <c r="H33" i="1"/>
  <c r="D36" i="1"/>
  <c r="L76" i="1"/>
  <c r="H45" i="1"/>
  <c r="L78" i="1"/>
  <c r="L64" i="1"/>
  <c r="D46" i="1"/>
  <c r="H85" i="1" a="1"/>
  <c r="F52" i="2"/>
  <c r="H102" i="1"/>
  <c r="F14" i="2"/>
  <c r="F82" i="2"/>
  <c r="H48" i="1"/>
  <c r="L75" i="1"/>
  <c r="D67" i="1"/>
  <c r="B16" i="2"/>
  <c r="F67" i="2"/>
  <c r="H99" i="1"/>
  <c r="D77" i="1"/>
  <c r="D76" i="1"/>
  <c r="H34" i="1"/>
  <c r="L62" i="1"/>
  <c r="H36" i="1"/>
  <c r="H86" i="1" a="1"/>
  <c r="H60" i="1"/>
  <c r="D94" i="1"/>
  <c r="D59" i="1"/>
  <c r="H37" i="1"/>
  <c r="D95" i="1"/>
  <c r="H80" i="1"/>
  <c r="H75" i="1"/>
  <c r="D80" i="1"/>
  <c r="F160" i="2"/>
  <c r="H47" i="1"/>
  <c r="D92" i="1"/>
  <c r="D33" i="1"/>
  <c r="H35" i="1"/>
  <c r="H101" i="1"/>
  <c r="D34" i="1"/>
  <c r="F145" i="2"/>
  <c r="H63" i="1"/>
  <c r="H77" i="1"/>
  <c r="H76" i="1"/>
  <c r="B6" i="2"/>
  <c r="H25" i="1" l="1"/>
  <c r="G76" i="1"/>
  <c r="K116" i="2"/>
  <c r="K87" i="2"/>
  <c r="K88" i="2" s="1"/>
  <c r="K89" i="2" s="1"/>
  <c r="K90" i="2" s="1"/>
  <c r="K91" i="2" s="1"/>
  <c r="G77" i="1"/>
  <c r="G80" i="1"/>
  <c r="G81" i="1" s="1"/>
  <c r="C76" i="1"/>
  <c r="C77" i="1"/>
  <c r="C80" i="1"/>
  <c r="H16" i="1"/>
  <c r="K123" i="2"/>
  <c r="K124" i="2" s="1"/>
  <c r="K125" i="2" s="1"/>
  <c r="K126" i="2" s="1"/>
  <c r="K127" i="2" s="1"/>
  <c r="K108" i="2"/>
  <c r="K109" i="2" s="1"/>
  <c r="K110" i="2" s="1"/>
  <c r="K111" i="2" s="1"/>
  <c r="K112" i="2" s="1"/>
  <c r="K130" i="2"/>
  <c r="K131" i="2" s="1"/>
  <c r="K132" i="2" s="1"/>
  <c r="K133" i="2" s="1"/>
  <c r="K134" i="2" s="1"/>
  <c r="K94" i="2"/>
  <c r="K95" i="2" s="1"/>
  <c r="K96" i="2" s="1"/>
  <c r="K97" i="2" s="1"/>
  <c r="K98" i="2" s="1"/>
  <c r="K137" i="2"/>
  <c r="K138" i="2" s="1"/>
  <c r="K139" i="2" s="1"/>
  <c r="K140" i="2" s="1"/>
  <c r="K141" i="2" s="1"/>
  <c r="K101" i="2"/>
  <c r="K102" i="2" s="1"/>
  <c r="K103" i="2" s="1"/>
  <c r="K104" i="2" s="1"/>
  <c r="K105" i="2" s="1"/>
  <c r="H86" i="1"/>
  <c r="H85" i="1"/>
  <c r="D25" i="1"/>
  <c r="G34" i="1"/>
  <c r="G36" i="1"/>
  <c r="C35" i="1"/>
  <c r="G35" i="1"/>
  <c r="C36" i="1"/>
  <c r="K117" i="2"/>
  <c r="K118" i="2" s="1"/>
  <c r="K119" i="2" s="1"/>
  <c r="K120" i="2" s="1"/>
  <c r="G59" i="1"/>
  <c r="H59" i="1" s="1"/>
  <c r="C17" i="2"/>
  <c r="K20" i="2"/>
  <c r="J20" i="2"/>
  <c r="J18" i="2"/>
  <c r="H20" i="2"/>
  <c r="K18" i="2"/>
  <c r="H18" i="2"/>
  <c r="H14" i="2"/>
  <c r="D6" i="2"/>
  <c r="C16" i="1" l="1"/>
  <c r="C59" i="1" l="1"/>
  <c r="L19" i="2" s="1"/>
  <c r="C75" i="1"/>
  <c r="C78" i="1" s="1"/>
  <c r="G75" i="1"/>
  <c r="G78" i="1" s="1"/>
  <c r="G83" i="1" s="1"/>
  <c r="G33" i="1"/>
  <c r="G38" i="1" s="1"/>
  <c r="H38" i="1" s="1"/>
  <c r="C33" i="1"/>
  <c r="D16" i="1"/>
  <c r="C37" i="1" l="1"/>
  <c r="D37" i="1" s="1"/>
  <c r="L21" i="2"/>
  <c r="L26" i="2"/>
  <c r="L18" i="2"/>
  <c r="L29" i="2"/>
  <c r="L31" i="2"/>
  <c r="L22" i="2"/>
  <c r="L20" i="2"/>
  <c r="L25" i="2"/>
  <c r="L33" i="2"/>
  <c r="L32" i="2"/>
  <c r="L17" i="2"/>
  <c r="L24" i="2"/>
  <c r="L27" i="2"/>
  <c r="L28" i="2"/>
  <c r="L23" i="2"/>
  <c r="L30" i="2"/>
  <c r="C7" i="2"/>
  <c r="D64" i="1" a="1"/>
  <c r="H62" i="1" a="1"/>
  <c r="D62" i="1" a="1"/>
  <c r="H65" i="1" a="1"/>
  <c r="L61" i="1" a="1"/>
  <c r="L59" i="1" a="1"/>
  <c r="D61" i="1" a="1"/>
  <c r="G60" i="1" l="1"/>
  <c r="G45" i="1"/>
  <c r="C62" i="1"/>
  <c r="D64" i="1"/>
  <c r="D62" i="1"/>
  <c r="D61" i="1"/>
  <c r="L61" i="1"/>
  <c r="L59" i="1"/>
  <c r="H65" i="1"/>
  <c r="H62" i="1"/>
  <c r="G86" i="1"/>
  <c r="G85" i="1"/>
  <c r="J146" i="2"/>
  <c r="K14" i="1"/>
  <c r="K16" i="1" s="1"/>
  <c r="C81" i="1" s="1"/>
  <c r="I68" i="2"/>
  <c r="K61" i="1"/>
  <c r="K59" i="1"/>
  <c r="K62" i="1" s="1"/>
  <c r="G65" i="1"/>
  <c r="C61" i="1"/>
  <c r="K53" i="2"/>
  <c r="G62" i="1"/>
  <c r="C64" i="1"/>
  <c r="L15" i="2"/>
  <c r="J38" i="2"/>
  <c r="G63" i="1" l="1"/>
  <c r="G66" i="1" s="1"/>
  <c r="G87" i="1"/>
  <c r="G88" i="1" s="1"/>
  <c r="G89" i="1" s="1"/>
  <c r="G91" i="1" s="1"/>
  <c r="C82" i="1"/>
  <c r="C84" i="1" s="1"/>
  <c r="C107" i="1" s="1"/>
  <c r="K64" i="1"/>
  <c r="C48" i="1" s="1"/>
  <c r="C65" i="1"/>
  <c r="L190" i="2" l="1"/>
  <c r="L198" i="2"/>
  <c r="L206" i="2"/>
  <c r="L188" i="2"/>
  <c r="L205" i="2"/>
  <c r="L191" i="2"/>
  <c r="L199" i="2"/>
  <c r="L207" i="2"/>
  <c r="L200" i="2"/>
  <c r="L203" i="2"/>
  <c r="L197" i="2"/>
  <c r="L192" i="2"/>
  <c r="L208" i="2"/>
  <c r="L204" i="2"/>
  <c r="L193" i="2"/>
  <c r="L201" i="2"/>
  <c r="L209" i="2"/>
  <c r="L195" i="2"/>
  <c r="L189" i="2"/>
  <c r="L186" i="2"/>
  <c r="L194" i="2"/>
  <c r="L202" i="2"/>
  <c r="L210" i="2"/>
  <c r="L196" i="2"/>
  <c r="L187" i="2"/>
  <c r="G68" i="1"/>
  <c r="C50" i="1" s="1"/>
  <c r="C114" i="1"/>
  <c r="L163" i="2"/>
  <c r="L171" i="2"/>
  <c r="L179" i="2"/>
  <c r="L172" i="2"/>
  <c r="L178" i="2"/>
  <c r="L164" i="2"/>
  <c r="L165" i="2"/>
  <c r="L173" i="2"/>
  <c r="L174" i="2"/>
  <c r="L170" i="2"/>
  <c r="L166" i="2"/>
  <c r="L167" i="2"/>
  <c r="L175" i="2"/>
  <c r="L177" i="2"/>
  <c r="L168" i="2"/>
  <c r="L176" i="2"/>
  <c r="L169" i="2"/>
  <c r="L85" i="2"/>
  <c r="L93" i="2"/>
  <c r="L101" i="2"/>
  <c r="L109" i="2"/>
  <c r="L117" i="2"/>
  <c r="L125" i="2"/>
  <c r="L133" i="2"/>
  <c r="L141" i="2"/>
  <c r="L102" i="2"/>
  <c r="L137" i="2"/>
  <c r="L86" i="2"/>
  <c r="L94" i="2"/>
  <c r="L110" i="2"/>
  <c r="L118" i="2"/>
  <c r="L126" i="2"/>
  <c r="L134" i="2"/>
  <c r="L87" i="2"/>
  <c r="L95" i="2"/>
  <c r="L103" i="2"/>
  <c r="L111" i="2"/>
  <c r="L119" i="2"/>
  <c r="L127" i="2"/>
  <c r="L135" i="2"/>
  <c r="L97" i="2"/>
  <c r="L113" i="2"/>
  <c r="L88" i="2"/>
  <c r="L96" i="2"/>
  <c r="L104" i="2"/>
  <c r="L112" i="2"/>
  <c r="L120" i="2"/>
  <c r="L128" i="2"/>
  <c r="L136" i="2"/>
  <c r="L89" i="2"/>
  <c r="L105" i="2"/>
  <c r="L121" i="2"/>
  <c r="L129" i="2"/>
  <c r="L90" i="2"/>
  <c r="L98" i="2"/>
  <c r="L106" i="2"/>
  <c r="L114" i="2"/>
  <c r="L122" i="2"/>
  <c r="L130" i="2"/>
  <c r="L138" i="2"/>
  <c r="L100" i="2"/>
  <c r="L108" i="2"/>
  <c r="L132" i="2"/>
  <c r="L91" i="2"/>
  <c r="L99" i="2"/>
  <c r="L107" i="2"/>
  <c r="L115" i="2"/>
  <c r="L123" i="2"/>
  <c r="L131" i="2"/>
  <c r="L139" i="2"/>
  <c r="L92" i="2"/>
  <c r="L116" i="2"/>
  <c r="L124" i="2"/>
  <c r="L140" i="2"/>
  <c r="C67" i="1"/>
  <c r="C49" i="1" s="1"/>
  <c r="D110" i="1" a="1"/>
  <c r="H93" i="1" a="1"/>
  <c r="D89" i="1" a="1"/>
  <c r="H96" i="1" a="1"/>
  <c r="D87" i="1" a="1"/>
  <c r="H94" i="1" a="1"/>
  <c r="D109" i="1" a="1"/>
  <c r="D108" i="1" a="1"/>
  <c r="D86" i="1" a="1"/>
  <c r="C110" i="1" l="1"/>
  <c r="D110" i="1"/>
  <c r="D109" i="1"/>
  <c r="D108" i="1"/>
  <c r="C108" i="1"/>
  <c r="C109" i="1"/>
  <c r="L184" i="2"/>
  <c r="M186" i="2"/>
  <c r="M194" i="2"/>
  <c r="M202" i="2"/>
  <c r="M210" i="2"/>
  <c r="M206" i="2"/>
  <c r="M201" i="2"/>
  <c r="M187" i="2"/>
  <c r="M195" i="2"/>
  <c r="M203" i="2"/>
  <c r="M204" i="2"/>
  <c r="M208" i="2"/>
  <c r="M188" i="2"/>
  <c r="M196" i="2"/>
  <c r="M198" i="2"/>
  <c r="M189" i="2"/>
  <c r="M197" i="2"/>
  <c r="M205" i="2"/>
  <c r="M190" i="2"/>
  <c r="M209" i="2"/>
  <c r="M191" i="2"/>
  <c r="M199" i="2"/>
  <c r="M207" i="2"/>
  <c r="M192" i="2"/>
  <c r="M193" i="2"/>
  <c r="M200" i="2"/>
  <c r="H96" i="1"/>
  <c r="H94" i="1"/>
  <c r="H93" i="1"/>
  <c r="D89" i="1"/>
  <c r="D87" i="1"/>
  <c r="D86" i="1"/>
  <c r="G96" i="1"/>
  <c r="G94" i="1"/>
  <c r="G93" i="1"/>
  <c r="L161" i="2"/>
  <c r="C86" i="1"/>
  <c r="C89" i="1"/>
  <c r="L83" i="2"/>
  <c r="C87" i="1"/>
  <c r="D117" i="1" a="1"/>
  <c r="D115" i="1" a="1"/>
  <c r="D116" i="1" a="1"/>
  <c r="C117" i="1" l="1"/>
  <c r="D117" i="1"/>
  <c r="D116" i="1"/>
  <c r="D115" i="1"/>
  <c r="C116" i="1"/>
  <c r="C115" i="1"/>
  <c r="M184" i="2"/>
  <c r="G97" i="1"/>
  <c r="G99" i="1" s="1"/>
  <c r="C90" i="1"/>
  <c r="C92" i="1" s="1"/>
  <c r="C111" i="1" l="1"/>
  <c r="C112" i="1" s="1"/>
  <c r="C118" i="1"/>
  <c r="C119" i="1" s="1"/>
  <c r="K76" i="1"/>
  <c r="G101" i="1"/>
  <c r="G102" i="1"/>
  <c r="K75" i="1"/>
  <c r="C94" i="1"/>
  <c r="C95" i="1"/>
  <c r="C121" i="1" l="1"/>
  <c r="K78" i="1"/>
  <c r="C46" i="1" s="1"/>
  <c r="C123" i="1" l="1"/>
  <c r="C47" i="1"/>
  <c r="C51" i="1" s="1"/>
  <c r="G46" i="1" l="1"/>
  <c r="G47" i="1" s="1"/>
  <c r="G48"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<sst xmlns="http://schemas.openxmlformats.org/spreadsheetml/2006/main" count="360" uniqueCount="156">
  <si>
    <t xml:space="preserve">Purpose </t>
  </si>
  <si>
    <r>
      <rPr>
        <sz val="11"/>
        <color rgb="FF000000"/>
        <rFont val="Aptos Narrow"/>
        <scheme val="minor"/>
      </rPr>
      <t xml:space="preserve">This spreadsheet helps you quickly estimate your total federal tax liability by combining the most common tax types for employed individuals in one place.
</t>
    </r>
    <r>
      <rPr>
        <u/>
        <sz val="11"/>
        <color rgb="FF000000"/>
        <rFont val="Aptos Narrow"/>
        <scheme val="minor"/>
      </rPr>
      <t>Key benefit of this calculator</t>
    </r>
    <r>
      <rPr>
        <sz val="11"/>
        <color rgb="FF000000"/>
        <rFont val="Aptos Narrow"/>
        <scheme val="minor"/>
      </rPr>
      <t xml:space="preserve">:
Most tax estimators focus on only one tax type (e.g., income tax).
</t>
    </r>
    <r>
      <rPr>
        <b/>
        <sz val="11"/>
        <color rgb="FF000000"/>
        <rFont val="Aptos Narrow"/>
        <scheme val="minor"/>
      </rPr>
      <t xml:space="preserve">This tool calculates and properly combines most common tax types:
</t>
    </r>
    <r>
      <rPr>
        <sz val="11"/>
        <color rgb="FF000000"/>
        <rFont val="Aptos Narrow"/>
        <scheme val="minor"/>
      </rPr>
      <t xml:space="preserve">  - Federal Income Tax (including Alternative Minimum Tax (AMT))
  - Long-Term Capital Gains Tax
  - Social Security Tax
  - Medicare Taxes (including Additional Medicare Tax and NIIT)
</t>
    </r>
    <r>
      <rPr>
        <b/>
        <sz val="11"/>
        <color rgb="FF000000"/>
        <rFont val="Aptos Narrow"/>
        <scheme val="minor"/>
      </rPr>
      <t>Philosophy:</t>
    </r>
    <r>
      <rPr>
        <sz val="11"/>
        <color rgb="FF000000"/>
        <rFont val="Aptos Narrow"/>
        <scheme val="minor"/>
      </rPr>
      <t xml:space="preserve"> This is an estimation tool, not a precise calculator. It intentionally omits some deductions to keep things simple. It's better to slightly overestimate (and get a refund) than underestimate (and face penalties).</t>
    </r>
  </si>
  <si>
    <t>How to use</t>
  </si>
  <si>
    <r>
      <rPr>
        <b/>
        <sz val="11"/>
        <color rgb="FF000000"/>
        <rFont val="Aptos Narrow"/>
        <scheme val="minor"/>
      </rPr>
      <t xml:space="preserve">1. If you are viewing the public read-only version, get your own private copy of the calculator:
</t>
    </r>
    <r>
      <rPr>
        <sz val="11"/>
        <color rgb="FF000000"/>
        <rFont val="Aptos Narrow"/>
        <scheme val="minor"/>
      </rPr>
      <t xml:space="preserve">  - Go to: </t>
    </r>
    <r>
      <rPr>
        <b/>
        <sz val="11"/>
        <color rgb="FF000000"/>
        <rFont val="Aptos Narrow"/>
        <scheme val="minor"/>
      </rPr>
      <t>File</t>
    </r>
    <r>
      <rPr>
        <sz val="11"/>
        <color rgb="FF000000"/>
        <rFont val="Aptos Narrow"/>
        <scheme val="minor"/>
      </rPr>
      <t xml:space="preserve"> &gt; </t>
    </r>
    <r>
      <rPr>
        <b/>
        <sz val="11"/>
        <color rgb="FF000000"/>
        <rFont val="Aptos Narrow"/>
        <scheme val="minor"/>
      </rPr>
      <t>Create a Copy</t>
    </r>
    <r>
      <rPr>
        <sz val="11"/>
        <color rgb="FF000000"/>
        <rFont val="Aptos Narrow"/>
        <scheme val="minor"/>
      </rPr>
      <t>.
    To use with Excel for Desktop (Windows or Mac), select '</t>
    </r>
    <r>
      <rPr>
        <b/>
        <sz val="11"/>
        <color rgb="FF000000"/>
        <rFont val="Aptos Narrow"/>
        <scheme val="minor"/>
      </rPr>
      <t>Download a Copy</t>
    </r>
    <r>
      <rPr>
        <sz val="11"/>
        <color rgb="FF000000"/>
        <rFont val="Aptos Narrow"/>
        <scheme val="minor"/>
      </rPr>
      <t>'.
    To use with Excel Online (free), select '</t>
    </r>
    <r>
      <rPr>
        <b/>
        <sz val="11"/>
        <color rgb="FF000000"/>
        <rFont val="Aptos Narrow"/>
        <scheme val="minor"/>
      </rPr>
      <t>Create a copy online'</t>
    </r>
    <r>
      <rPr>
        <sz val="11"/>
        <color rgb="FF000000"/>
        <rFont val="Aptos Narrow"/>
        <scheme val="minor"/>
      </rPr>
      <t xml:space="preserve">.
  - Alternatively, download the calculator Excel file directly from the GitHub repo (link below).
</t>
    </r>
    <r>
      <rPr>
        <b/>
        <sz val="11"/>
        <color rgb="FF000000"/>
        <rFont val="Aptos Narrow"/>
        <scheme val="minor"/>
      </rPr>
      <t xml:space="preserve">2. Input Your Income ('Estomator' tab, </t>
    </r>
    <r>
      <rPr>
        <b/>
        <sz val="11"/>
        <color rgb="FFE97132"/>
        <rFont val="Aptos Narrow"/>
        <scheme val="minor"/>
      </rPr>
      <t>orange</t>
    </r>
    <r>
      <rPr>
        <b/>
        <sz val="11"/>
        <color rgb="FF000000"/>
        <rFont val="Aptos Narrow"/>
        <scheme val="minor"/>
      </rPr>
      <t xml:space="preserve"> cells only):
</t>
    </r>
    <r>
      <rPr>
        <sz val="11"/>
        <color rgb="FF000000"/>
        <rFont val="Aptos Narrow"/>
        <scheme val="minor"/>
      </rPr>
      <t xml:space="preserve">  - Enter your estimated income in section 'Your extimated income'.
  - Each income category has 3 input fields. Use them however you like (they're simply added together).
  - Only edit </t>
    </r>
    <r>
      <rPr>
        <b/>
        <sz val="11"/>
        <color rgb="FFE97132"/>
        <rFont val="Aptos Narrow"/>
        <scheme val="minor"/>
      </rPr>
      <t>orange</t>
    </r>
    <r>
      <rPr>
        <sz val="11"/>
        <color rgb="FF000000"/>
        <rFont val="Aptos Narrow"/>
        <scheme val="minor"/>
      </rPr>
      <t xml:space="preserve"> cells. All other cells are auto-computed.
  - Some input cells are pre-filled with sample values. Make sure to override with your values.
</t>
    </r>
    <r>
      <rPr>
        <b/>
        <sz val="11"/>
        <color rgb="FF000000"/>
        <rFont val="Aptos Narrow"/>
        <scheme val="minor"/>
      </rPr>
      <t xml:space="preserve">3. Review Your Results:
</t>
    </r>
    <r>
      <rPr>
        <sz val="11"/>
        <color rgb="FF000000"/>
        <rFont val="Aptos Narrow"/>
        <scheme val="minor"/>
      </rPr>
      <t xml:space="preserve">  - </t>
    </r>
    <r>
      <rPr>
        <b/>
        <sz val="11"/>
        <color rgb="FF000000"/>
        <rFont val="Aptos Narrow"/>
        <scheme val="minor"/>
      </rPr>
      <t>'Total Tax Summary' section:</t>
    </r>
    <r>
      <rPr>
        <sz val="11"/>
        <color rgb="FF000000"/>
        <rFont val="Aptos Narrow"/>
        <scheme val="minor"/>
      </rPr>
      <t xml:space="preserve"> View estimated tax by type and your total.
  - </t>
    </r>
    <r>
      <rPr>
        <b/>
        <sz val="11"/>
        <color rgb="FF000000"/>
        <rFont val="Aptos Narrow"/>
        <scheme val="minor"/>
      </rPr>
      <t>Detail sections below:</t>
    </r>
    <r>
      <rPr>
        <sz val="11"/>
        <color rgb="FF000000"/>
        <rFont val="Aptos Narrow"/>
        <scheme val="minor"/>
      </rPr>
      <t xml:space="preserve"> See exactly how each tax is calculated.
  - </t>
    </r>
    <r>
      <rPr>
        <b/>
        <sz val="11"/>
        <color rgb="FF000000"/>
        <rFont val="Aptos Narrow"/>
        <scheme val="minor"/>
      </rPr>
      <t>'Parameters' tab:</t>
    </r>
    <r>
      <rPr>
        <sz val="11"/>
        <color rgb="FF000000"/>
        <rFont val="Aptos Narrow"/>
        <scheme val="minor"/>
      </rPr>
      <t xml:space="preserve"> Reference tax rates and brackets for each year.</t>
    </r>
  </si>
  <si>
    <t>Link to this calculator on GitHub:</t>
  </si>
  <si>
    <t>https://github.com/macrogreg/Combined-Income-Tax-Estimator</t>
  </si>
  <si>
    <t>Tax types not considered</t>
  </si>
  <si>
    <t xml:space="preserve">  - State and local taxes.
  - Some nuances of Alternative Minimum Tax (AMT), such as Incentive Stock Options (ISO) exercise tax. This can significantly impact the AMT. There may be other AMT nuances that are not considered.
  - Self-Employment Tax.
  - There may be others, so focus on what is explicitly covered (see above).</t>
  </si>
  <si>
    <t>⚠️ This calculator is not a qualified tax advice.</t>
  </si>
  <si>
    <t>This tool is for estimation purposes only. It should be reasonably accurate for ~90% of employed individuals. The calculator accounts for common income  types, such as W-2, capital gains, rental income, and others.
For fully reliable tax calculations, expecially for complex tax situations, always consult a qualified tax professional!</t>
  </si>
  <si>
    <r>
      <rPr>
        <b/>
        <sz val="12"/>
        <color theme="9" tint="-0.499984740745262"/>
        <rFont val="Aptos Narrow"/>
        <family val="2"/>
        <scheme val="minor"/>
      </rPr>
      <t>*</t>
    </r>
    <r>
      <rPr>
        <sz val="12"/>
        <color theme="9" tint="-0.499984740745262"/>
        <rFont val="Aptos Narrow"/>
        <family val="2"/>
        <scheme val="minor"/>
      </rPr>
      <t xml:space="preserve"> All calculated values are estimates.</t>
    </r>
  </si>
  <si>
    <t>Select/enter values for orange fields.</t>
  </si>
  <si>
    <t xml:space="preserve">   The author is not a qualified tax expert.</t>
  </si>
  <si>
    <r>
      <t xml:space="preserve">Do </t>
    </r>
    <r>
      <rPr>
        <b/>
        <sz val="11"/>
        <color theme="1"/>
        <rFont val="Aptos Narrow"/>
        <family val="2"/>
        <scheme val="minor"/>
      </rPr>
      <t>not</t>
    </r>
    <r>
      <rPr>
        <sz val="11"/>
        <color theme="1"/>
        <rFont val="Aptos Narrow"/>
        <family val="2"/>
        <scheme val="minor"/>
      </rPr>
      <t xml:space="preserve"> modify other fields (auto-computed).</t>
    </r>
  </si>
  <si>
    <t>Your extimated income</t>
  </si>
  <si>
    <t>Enter your income in this section. Tax estimates will be based on it.</t>
  </si>
  <si>
    <t>Tax Year:</t>
  </si>
  <si>
    <t>Filing Status:</t>
  </si>
  <si>
    <t>Single</t>
  </si>
  <si>
    <t>Earned Income</t>
  </si>
  <si>
    <t>Deductions towards Adjusted Gross Income (AGI)</t>
  </si>
  <si>
    <t>Regular Income Tax Deductions</t>
  </si>
  <si>
    <t>e.g., wages, tips, bonuses, benefits, shares, …</t>
  </si>
  <si>
    <t>e.g., certain 401k, IRA &amp; HSA contributions, certain education expenses, certain other expenses</t>
  </si>
  <si>
    <t>below-the-line items: use standard OR itemize, e.g., mortgage interest, charity, state &amp; local taxes, …</t>
  </si>
  <si>
    <t>Gross Wages A:</t>
  </si>
  <si>
    <t>AGI above-the-line Deductions A:</t>
  </si>
  <si>
    <t>The larger option will be used:</t>
  </si>
  <si>
    <t>Gross Wages B:</t>
  </si>
  <si>
    <t>AGI above-the-line Deductions B:</t>
  </si>
  <si>
    <t>Standard Deduction for selected status:</t>
  </si>
  <si>
    <t>Gross Wages C:</t>
  </si>
  <si>
    <t>AGI above-the-line Deductions C:</t>
  </si>
  <si>
    <t>Itemized Deductions total:</t>
  </si>
  <si>
    <t>(leave $0, if not itemizing)</t>
  </si>
  <si>
    <t>Total Gross Wages:</t>
  </si>
  <si>
    <t>Total AGI above-the-line Deductions:</t>
  </si>
  <si>
    <t>Deduction Amount:</t>
  </si>
  <si>
    <t>Passive Income &amp; Similar</t>
  </si>
  <si>
    <t>Long-term Capital Gains</t>
  </si>
  <si>
    <t>Short-term Capital Gains</t>
  </si>
  <si>
    <t>e.g., rental income, interest, non-qualified dividends, …</t>
  </si>
  <si>
    <t>e.g., qualidied dividends, realized income from sold assets</t>
  </si>
  <si>
    <t>e.g., realized income from sold short-term assets</t>
  </si>
  <si>
    <t>Net Rental &amp; similar Income A:</t>
  </si>
  <si>
    <t>Long-term Capital Gains A:</t>
  </si>
  <si>
    <t>Short-term Capital Gains A:</t>
  </si>
  <si>
    <t>Net Rental &amp; similar Income B:</t>
  </si>
  <si>
    <t>Long-term Capital Gains B:</t>
  </si>
  <si>
    <t>Short-term Capital Gains B:</t>
  </si>
  <si>
    <t>Net Rental &amp; similar Income C:</t>
  </si>
  <si>
    <t>Long-term Capital Gains C:</t>
  </si>
  <si>
    <t>Short-term Capital Gains C:</t>
  </si>
  <si>
    <t>Total Rental &amp; similar Income:</t>
  </si>
  <si>
    <t>Total Long-term Capital Gains:</t>
  </si>
  <si>
    <t>Total Short-term Capital Gains:</t>
  </si>
  <si>
    <t>Income Summary</t>
  </si>
  <si>
    <t>This section summarizes your income entered above.</t>
  </si>
  <si>
    <t>Gross Income</t>
  </si>
  <si>
    <t>Adjusted Gross Income (AGI)</t>
  </si>
  <si>
    <t>Total Gross Income:</t>
  </si>
  <si>
    <t>Total AGI (Adjusted Gross Income):</t>
  </si>
  <si>
    <t>Total Tax Summary</t>
  </si>
  <si>
    <t>This is the result section. It summarizes your estimated taxes.</t>
  </si>
  <si>
    <t>Total Tax Estimate</t>
  </si>
  <si>
    <t>Total Net Income Estimate</t>
  </si>
  <si>
    <t>Tax Type</t>
  </si>
  <si>
    <t>Amount</t>
  </si>
  <si>
    <t>Total tax as percentage of Income:</t>
  </si>
  <si>
    <t>Net Income Estimate</t>
  </si>
  <si>
    <t>Total Tax Estimate:</t>
  </si>
  <si>
    <t>Federal Insurance Contributions &amp; Affordable Care Act Taxes</t>
  </si>
  <si>
    <t>Medicare Wages Tax</t>
  </si>
  <si>
    <t>Medicare Net Investment Income Tax (NIIT)</t>
  </si>
  <si>
    <t>Social Security Tax</t>
  </si>
  <si>
    <t>Taxable Medicare Wages Amount:</t>
  </si>
  <si>
    <t>Net Investment Amount:</t>
  </si>
  <si>
    <t>Max Taxable Amount:</t>
  </si>
  <si>
    <t xml:space="preserve">Applicable Modified Adjusted Gross Income (MAGI): </t>
  </si>
  <si>
    <t>Marginal Rate:</t>
  </si>
  <si>
    <t>Applicable Rate:</t>
  </si>
  <si>
    <t>Marginal rate Bracket Start:</t>
  </si>
  <si>
    <t xml:space="preserve">Applicable MAGI Threshold: </t>
  </si>
  <si>
    <t>Applicable Taxable Amount:</t>
  </si>
  <si>
    <t>Is NIIT applicable:</t>
  </si>
  <si>
    <t>Subtotal of lower rate brackets:</t>
  </si>
  <si>
    <t>Total Medicare Wages Tax:</t>
  </si>
  <si>
    <t>Subtotal in marginal rate bracket:</t>
  </si>
  <si>
    <t>Medicare Net Investment Income Tax Rate:</t>
  </si>
  <si>
    <t>Taxable Medicare NIIT Amount:</t>
  </si>
  <si>
    <t>Total Medicare NIIT:</t>
  </si>
  <si>
    <t>Federal Income Taxes</t>
  </si>
  <si>
    <t>Regular Income Tax</t>
  </si>
  <si>
    <t>Alternative Minimum Tax (AMT)</t>
  </si>
  <si>
    <t>Effective Federal Income Tax</t>
  </si>
  <si>
    <t>Total Applicable Gross Income:</t>
  </si>
  <si>
    <t>(the larger of the two above alternatives)</t>
  </si>
  <si>
    <t>Total Applicable Deductions:</t>
  </si>
  <si>
    <t>Alternative Minimum Taxable Income (AMTI) :</t>
  </si>
  <si>
    <t>Applicable Regular Taxable Amount:</t>
  </si>
  <si>
    <t>Basis AMT Exemption:</t>
  </si>
  <si>
    <t>Phaseout Threshold:</t>
  </si>
  <si>
    <t>AMTI above Phaseout Threshold:</t>
  </si>
  <si>
    <t>Exemption Reduction due to Phaseout:</t>
  </si>
  <si>
    <t>Actually Applicable AMT Excemption:</t>
  </si>
  <si>
    <t>Actual AMT-Taxable Amount:</t>
  </si>
  <si>
    <t>Total Regular Income Tax:</t>
  </si>
  <si>
    <t>as % of applicable gross income:</t>
  </si>
  <si>
    <t>as % of applicable taxable income:</t>
  </si>
  <si>
    <t>Total Alternamive Minumum Tax:</t>
  </si>
  <si>
    <t>Long Term Capital Gain Tax (LTCG)</t>
  </si>
  <si>
    <t>LTCG bracket range Start:</t>
  </si>
  <si>
    <t xml:space="preserve">    Marginal rate:</t>
  </si>
  <si>
    <t xml:space="preserve">    Marginal rate bracket start:</t>
  </si>
  <si>
    <t xml:space="preserve">    Subtotal of lower rate brackets:</t>
  </si>
  <si>
    <t xml:space="preserve">    Subtotal in marginal rate bracket:</t>
  </si>
  <si>
    <t xml:space="preserve">    LTCG bracket range Start Tax:</t>
  </si>
  <si>
    <t>LTCG T bracket range End:</t>
  </si>
  <si>
    <t xml:space="preserve">    LTCG bracket range End Tax:</t>
  </si>
  <si>
    <t>Total Long Term Capital Gains Tax:</t>
  </si>
  <si>
    <t>as % of long-term capital gains:</t>
  </si>
  <si>
    <r>
      <t xml:space="preserve">This tab contains the tax computation parameters for different </t>
    </r>
    <r>
      <rPr>
        <b/>
        <sz val="12"/>
        <color theme="9" tint="-0.499984740745262"/>
        <rFont val="Aptos Narrow"/>
        <family val="2"/>
        <scheme val="minor"/>
      </rPr>
      <t>Tax Years</t>
    </r>
    <r>
      <rPr>
        <sz val="12"/>
        <color theme="9" tint="-0.499984740745262"/>
        <rFont val="Aptos Narrow"/>
        <family val="2"/>
        <scheme val="minor"/>
      </rPr>
      <t xml:space="preserve">, </t>
    </r>
    <r>
      <rPr>
        <b/>
        <sz val="12"/>
        <color theme="9" tint="-0.499984740745262"/>
        <rFont val="Aptos Narrow"/>
        <family val="2"/>
        <scheme val="minor"/>
      </rPr>
      <t>Income Brackets</t>
    </r>
    <r>
      <rPr>
        <sz val="12"/>
        <color theme="9" tint="-0.499984740745262"/>
        <rFont val="Aptos Narrow"/>
        <family val="2"/>
        <scheme val="minor"/>
      </rPr>
      <t xml:space="preserve">, and </t>
    </r>
    <r>
      <rPr>
        <b/>
        <sz val="12"/>
        <color theme="9" tint="-0.499984740745262"/>
        <rFont val="Aptos Narrow"/>
        <family val="2"/>
        <scheme val="minor"/>
      </rPr>
      <t>Filing Satuses</t>
    </r>
    <r>
      <rPr>
        <sz val="12"/>
        <color theme="9" tint="-0.499984740745262"/>
        <rFont val="Aptos Narrow"/>
        <family val="2"/>
        <scheme val="minor"/>
      </rPr>
      <t>.</t>
    </r>
  </si>
  <si>
    <t>The `IsSelected` columns are auto-populated based on the inputs on the `Estimator` tab.</t>
  </si>
  <si>
    <t>Handle:</t>
  </si>
  <si>
    <t>In Range Label:</t>
  </si>
  <si>
    <t>✔</t>
  </si>
  <si>
    <t>Out Of Range Label:</t>
  </si>
  <si>
    <t>OutOfRange</t>
  </si>
  <si>
    <t>Filing Status</t>
  </si>
  <si>
    <t>IsSelected</t>
  </si>
  <si>
    <t>Not Found Label:</t>
  </si>
  <si>
    <t>Not Found</t>
  </si>
  <si>
    <t>Selection Valid Label:</t>
  </si>
  <si>
    <t>Valid</t>
  </si>
  <si>
    <t>Married Filing Jointly</t>
  </si>
  <si>
    <t>Max Income:</t>
  </si>
  <si>
    <t>Married Filing Separately</t>
  </si>
  <si>
    <t>Head of Household</t>
  </si>
  <si>
    <t>Tax Year</t>
  </si>
  <si>
    <t>Medicare Rate</t>
  </si>
  <si>
    <t>RangeStart</t>
  </si>
  <si>
    <t>RangeEnd</t>
  </si>
  <si>
    <t>SumLowerRanges</t>
  </si>
  <si>
    <t>Status LabelId</t>
  </si>
  <si>
    <t>NetInvestInc Rate</t>
  </si>
  <si>
    <t>Modified AGI Threshold</t>
  </si>
  <si>
    <t>SocialSecurity Rate</t>
  </si>
  <si>
    <t>Max Taxable Income</t>
  </si>
  <si>
    <t>Standard 
Deduction Amount</t>
  </si>
  <si>
    <t>Federal Tax Rate</t>
  </si>
  <si>
    <t>AMT Exemption</t>
  </si>
  <si>
    <t>Phaseout Threshold</t>
  </si>
  <si>
    <t>AMT Rate</t>
  </si>
  <si>
    <t>LTCG Rate</t>
  </si>
  <si>
    <t>IsBracketStart</t>
  </si>
  <si>
    <t>IsBracketEnd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</si>
</sst>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0.00"/>
    <numFmt numFmtId="165" formatCode="0.000%"/>
    <numFmt numFmtId="166" formatCode="&quot;$&quot;#,##0"/>
    <numFmt numFmtId="167" formatCode="0.0%"/>
    <numFmt numFmtId="168" formatCode="_(&quot;$&quot;* #,##0_);_(&quot;$&quot;* \(#,##0\);_(&quot;$&quot;* &quot;-&quot;??_);_(@_)"/>
  </numFmts>
  <fonts count="36">
    <font>
      <sz val="11"/>
      <color theme="1"/>
      <name val="Aptos Narrow"/>
      <family val="2"/>
      <scheme val="minor"/>
    </font>
    <font>
      <sz val="11"/>
      <color theme="1"/>
      <name val="Aptos Narrow"/>
      <family val="2"/>
      <scheme val="minor"/>
    </font>
    <font>
      <b/>
      <sz val="13"/>
      <color theme="3"/>
      <name val="Aptos Narrow"/>
      <family val="2"/>
      <scheme val="minor"/>
    </font>
    <font>
      <sz val="11"/>
      <color rgb="FF3F3F76"/>
      <name val="Aptos Narrow"/>
      <family val="2"/>
      <scheme val="minor"/>
    </font>
    <font>
      <b/>
      <sz val="11"/>
      <color theme="1"/>
      <name val="Aptos Narrow"/>
      <family val="2"/>
      <scheme val="minor"/>
    </font>
    <font>
      <i/>
      <sz val="11"/>
      <color theme="0" tint="-0.499984740745262"/>
      <name val="Aptos Narrow"/>
      <family val="2"/>
      <scheme val="minor"/>
    </font>
    <font>
      <sz val="10"/>
      <color theme="1"/>
      <name val="Aptos Narrow"/>
      <family val="2"/>
      <scheme val="minor"/>
    </font>
    <font>
      <sz val="9"/>
      <color theme="0" tint="-0.499984740745262"/>
      <name val="Aptos Narrow"/>
      <family val="2"/>
      <scheme val="minor"/>
    </font>
    <font>
      <sz val="9"/>
      <color theme="1"/>
      <name val="Aptos Narrow"/>
      <family val="2"/>
      <scheme val="minor"/>
    </font>
    <font>
      <sz val="8"/>
      <color theme="0" tint="-0.499984740745262"/>
      <name val="Aptos Narrow"/>
      <family val="2"/>
      <scheme val="minor"/>
    </font>
    <font>
      <sz val="8"/>
      <color theme="1"/>
      <name val="Aptos Narrow"/>
      <family val="2"/>
      <scheme val="minor"/>
    </font>
    <font>
      <i/>
      <sz val="9"/>
      <color theme="0" tint="-0.499984740745262"/>
      <name val="Aptos Narrow"/>
      <family val="2"/>
      <scheme val="minor"/>
    </font>
    <font>
      <sz val="12"/>
      <color theme="9" tint="-0.499984740745262"/>
      <name val="Aptos Narrow"/>
      <family val="2"/>
      <scheme val="minor"/>
    </font>
    <font>
      <b/>
      <sz val="12"/>
      <color theme="9" tint="-0.499984740745262"/>
      <name val="Aptos Narrow"/>
      <family val="2"/>
      <scheme val="minor"/>
    </font>
    <font>
      <sz val="9"/>
      <color theme="7" tint="-0.499984740745262"/>
      <name val="Aptos Narrow"/>
      <family val="2"/>
      <scheme val="minor"/>
    </font>
    <font>
      <b/>
      <sz val="10"/>
      <color theme="1"/>
      <name val="Aptos Narrow"/>
      <family val="2"/>
      <scheme val="minor"/>
    </font>
    <font>
      <i/>
      <sz val="11"/>
      <color theme="1"/>
      <name val="Aptos Narrow"/>
      <family val="2"/>
      <scheme val="minor"/>
    </font>
    <font>
      <sz val="12"/>
      <color theme="1"/>
      <name val="Aptos Narrow"/>
      <family val="2"/>
      <scheme val="minor"/>
    </font>
    <font>
      <b/>
      <sz val="11"/>
      <color theme="3"/>
      <name val="Aptos Narrow"/>
      <family val="2"/>
      <scheme val="minor"/>
    </font>
    <font>
      <b/>
      <sz val="12"/>
      <color theme="1"/>
      <name val="Aptos Narrow"/>
      <family val="2"/>
      <scheme val="minor"/>
    </font>
    <font>
      <b/>
      <sz val="10"/>
      <color theme="0" tint="-0.499984740745262"/>
      <name val="Aptos Narrow"/>
      <family val="2"/>
      <scheme val="minor"/>
    </font>
    <font>
      <sz val="9"/>
      <color theme="3" tint="0.499984740745262"/>
      <name val="Aptos Narrow"/>
      <family val="2"/>
      <scheme val="minor"/>
    </font>
    <font>
      <b/>
      <sz val="11"/>
      <color theme="0" tint="-0.499984740745262"/>
      <name val="Aptos Narrow"/>
      <family val="2"/>
      <scheme val="minor"/>
    </font>
    <font>
      <sz val="11"/>
      <name val="Aptos Narrow"/>
      <family val="2"/>
      <scheme val="minor"/>
    </font>
    <font>
      <b/>
      <sz val="9"/>
      <color theme="1"/>
      <name val="Aptos Narrow"/>
      <family val="2"/>
      <scheme val="minor"/>
    </font>
    <font>
      <b/>
      <sz val="11"/>
      <color rgb="FF3F3F76"/>
      <name val="Aptos Narrow"/>
      <family val="2"/>
      <scheme val="minor"/>
    </font>
    <font>
      <i/>
      <sz val="9"/>
      <color theme="4" tint="0.59996337778862885"/>
      <name val="Aptos Narrow"/>
      <family val="2"/>
      <scheme val="minor"/>
    </font>
    <font>
      <b/>
      <sz val="9"/>
      <color theme="7" tint="-0.499984740745262"/>
      <name val="Aptos Narrow"/>
      <family val="2"/>
      <scheme val="minor"/>
    </font>
    <font>
      <i/>
      <sz val="7"/>
      <color theme="4" tint="0.59996337778862885"/>
      <name val="Aptos Narrow"/>
      <family val="2"/>
      <scheme val="minor"/>
    </font>
    <font>
      <u/>
      <sz val="11"/>
      <color theme="10"/>
      <name val="Aptos Narrow"/>
      <family val="2"/>
      <scheme val="minor"/>
    </font>
    <font>
      <sz val="11"/>
      <color rgb="FF000000"/>
      <name val="Aptos Narrow"/>
      <scheme val="minor"/>
    </font>
    <font>
      <u/>
      <sz val="11"/>
      <color rgb="FF000000"/>
      <name val="Aptos Narrow"/>
      <scheme val="minor"/>
    </font>
    <font>
      <b/>
      <sz val="11"/>
      <color rgb="FF000000"/>
      <name val="Aptos Narrow"/>
      <scheme val="minor"/>
    </font>
    <font>
      <b/>
      <sz val="11"/>
      <color rgb="FFE97132"/>
      <name val="Aptos Narrow"/>
      <scheme val="minor"/>
    </font>
    <font>
      <sz val="11"/>
      <color theme="1"/>
      <name val="Aptos Narrow"/>
      <scheme val="minor"/>
    </font>
    <font>
      <b/>
      <sz val="11"/>
      <color theme="1"/>
      <name val="Aptos Narrow"/>
      <scheme val="minor"/>
    </font>
  </fonts>
  <fills count="6">
    <fill>
      <patternFill patternType="none"/>
    </fill>
    <fill>
      <patternFill patternType="gray125"/>
    </fill>
    <fill>
      <patternFill patternType="solid">
        <fgColor rgb="FFFFCC99"/>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15">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indexed="64"/>
      </bottom>
      <diagonal/>
    </border>
    <border>
      <left style="thin">
        <color rgb="FF7F7F7F"/>
      </left>
      <right style="thin">
        <color rgb="FF7F7F7F"/>
      </right>
      <top style="thin">
        <color rgb="FF7F7F7F"/>
      </top>
      <bottom style="medium">
        <color indexed="64"/>
      </bottom>
      <diagonal/>
    </border>
    <border>
      <left/>
      <right/>
      <top style="thin">
        <color indexed="64"/>
      </top>
      <bottom/>
      <diagonal/>
    </border>
    <border>
      <left/>
      <right/>
      <top/>
      <bottom style="medium">
        <color theme="4" tint="0.39997558519241921"/>
      </bottom>
      <diagonal/>
    </border>
    <border>
      <left/>
      <right/>
      <top/>
      <bottom style="thin">
        <color indexed="64"/>
      </bottom>
      <diagonal/>
    </border>
    <border>
      <left style="medium">
        <color theme="8"/>
      </left>
      <right/>
      <top style="medium">
        <color theme="8"/>
      </top>
      <bottom/>
      <diagonal/>
    </border>
    <border>
      <left/>
      <right style="medium">
        <color theme="8"/>
      </right>
      <top style="medium">
        <color theme="8"/>
      </top>
      <bottom/>
      <diagonal/>
    </border>
    <border>
      <left style="medium">
        <color theme="8"/>
      </left>
      <right/>
      <top/>
      <bottom/>
      <diagonal/>
    </border>
    <border>
      <left/>
      <right style="medium">
        <color theme="8"/>
      </right>
      <top/>
      <bottom/>
      <diagonal/>
    </border>
    <border>
      <left style="medium">
        <color theme="8"/>
      </left>
      <right/>
      <top/>
      <bottom style="medium">
        <color theme="8"/>
      </bottom>
      <diagonal/>
    </border>
    <border>
      <left/>
      <right style="medium">
        <color theme="8"/>
      </right>
      <top/>
      <bottom style="medium">
        <color theme="8"/>
      </bottom>
      <diagonal/>
    </border>
    <border>
      <left/>
      <right/>
      <top style="thick">
        <color theme="4" tint="0.499984740745262"/>
      </top>
      <bottom/>
      <diagonal/>
    </border>
  </borders>
  <cellStyleXfs count="11">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2" borderId="2" applyNumberFormat="0" applyAlignment="0" applyProtection="0"/>
    <xf numFmtId="0" fontId="18" fillId="0" borderId="6" applyNumberFormat="0" applyFill="0" applyAlignment="0" applyProtection="0"/>
    <xf numFmtId="0" fontId="11" fillId="0" borderId="0"/>
    <xf numFmtId="0" fontId="7" fillId="0" borderId="0"/>
    <xf numFmtId="0" fontId="26" fillId="0" borderId="0"/>
    <xf numFmtId="0" fontId="28" fillId="0" borderId="0">
      <alignment vertical="center"/>
    </xf>
    <xf numFmtId="0" fontId="29" fillId="0" borderId="0" applyNumberFormat="0" applyFill="0" applyBorder="0" applyAlignment="0" applyProtection="0"/>
  </cellStyleXfs>
  <cellXfs count="85">
    <xf numFmtId="0" fontId="0" fillId="0" borderId="0" xfId="0"/>
    <xf numFmtId="164" fontId="0" fillId="0" borderId="0" xfId="1" applyNumberFormat="1" applyFont="1"/>
    <xf numFmtId="164" fontId="0" fillId="0" borderId="0" xfId="0" applyNumberFormat="1"/>
    <xf numFmtId="0" fontId="4" fillId="0" borderId="0" xfId="0" applyFont="1"/>
    <xf numFmtId="164" fontId="4" fillId="0" borderId="0" xfId="0" applyNumberFormat="1" applyFont="1"/>
    <xf numFmtId="0" fontId="4" fillId="3" borderId="0" xfId="0" applyFont="1" applyFill="1"/>
    <xf numFmtId="165" fontId="0" fillId="0" borderId="0" xfId="2" applyNumberFormat="1" applyFont="1"/>
    <xf numFmtId="49" fontId="0" fillId="0" borderId="0" xfId="2" applyNumberFormat="1" applyFont="1" applyAlignment="1">
      <alignment horizontal="right"/>
    </xf>
    <xf numFmtId="0" fontId="3" fillId="2" borderId="2" xfId="4"/>
    <xf numFmtId="164" fontId="3" fillId="2" borderId="2" xfId="4" applyNumberFormat="1"/>
    <xf numFmtId="0" fontId="0" fillId="0" borderId="3" xfId="0" applyBorder="1"/>
    <xf numFmtId="164" fontId="3" fillId="2" borderId="4" xfId="4" applyNumberFormat="1" applyBorder="1"/>
    <xf numFmtId="0" fontId="5" fillId="0" borderId="0" xfId="0" applyFont="1"/>
    <xf numFmtId="0" fontId="9" fillId="3" borderId="0" xfId="0" applyFont="1" applyFill="1" applyAlignment="1">
      <alignment horizontal="right" vertical="center"/>
    </xf>
    <xf numFmtId="0" fontId="10" fillId="3" borderId="0" xfId="0" applyFont="1" applyFill="1" applyAlignment="1">
      <alignment vertical="center"/>
    </xf>
    <xf numFmtId="0" fontId="2" fillId="0" borderId="1" xfId="3"/>
    <xf numFmtId="0" fontId="8" fillId="0" borderId="0" xfId="0" applyFont="1" applyAlignment="1">
      <alignment horizontal="center"/>
    </xf>
    <xf numFmtId="0" fontId="4" fillId="0" borderId="5" xfId="0" applyFont="1" applyBorder="1"/>
    <xf numFmtId="164" fontId="4" fillId="0" borderId="5" xfId="0" applyNumberFormat="1" applyFont="1" applyBorder="1"/>
    <xf numFmtId="0" fontId="7" fillId="0" borderId="0" xfId="0" applyFont="1" applyAlignment="1">
      <alignment vertical="center"/>
    </xf>
    <xf numFmtId="0" fontId="11" fillId="0" borderId="0" xfId="0" applyFont="1" applyAlignment="1">
      <alignment vertical="center"/>
    </xf>
    <xf numFmtId="0" fontId="0" fillId="0" borderId="0" xfId="0" applyAlignment="1">
      <alignment horizontal="right"/>
    </xf>
    <xf numFmtId="0" fontId="0" fillId="4" borderId="0" xfId="0" applyFill="1"/>
    <xf numFmtId="0" fontId="12" fillId="4" borderId="0" xfId="0" applyFont="1" applyFill="1"/>
    <xf numFmtId="0" fontId="6" fillId="0" borderId="0" xfId="0" applyFont="1"/>
    <xf numFmtId="164" fontId="0" fillId="0" borderId="3" xfId="0" applyNumberFormat="1" applyBorder="1"/>
    <xf numFmtId="0" fontId="14" fillId="0" borderId="0" xfId="0" applyFont="1" applyAlignment="1">
      <alignment vertical="center"/>
    </xf>
    <xf numFmtId="0" fontId="15" fillId="3" borderId="0" xfId="0" applyFont="1" applyFill="1"/>
    <xf numFmtId="166" fontId="0" fillId="0" borderId="0" xfId="1" applyNumberFormat="1" applyFont="1"/>
    <xf numFmtId="165" fontId="0" fillId="0" borderId="0" xfId="2" applyNumberFormat="1" applyFont="1" applyAlignment="1">
      <alignment horizontal="right"/>
    </xf>
    <xf numFmtId="0" fontId="16" fillId="0" borderId="0" xfId="0" applyFont="1"/>
    <xf numFmtId="0" fontId="17" fillId="3" borderId="0" xfId="0" applyFont="1" applyFill="1"/>
    <xf numFmtId="164" fontId="17" fillId="3" borderId="0" xfId="0" applyNumberFormat="1" applyFont="1" applyFill="1"/>
    <xf numFmtId="0" fontId="0" fillId="0" borderId="7" xfId="0" applyBorder="1"/>
    <xf numFmtId="164" fontId="0" fillId="0" borderId="7" xfId="0" applyNumberFormat="1" applyBorder="1"/>
    <xf numFmtId="0" fontId="17" fillId="0" borderId="0" xfId="0" applyFont="1"/>
    <xf numFmtId="164" fontId="17" fillId="0" borderId="0" xfId="0" applyNumberFormat="1" applyFont="1"/>
    <xf numFmtId="0" fontId="18" fillId="0" borderId="6" xfId="5"/>
    <xf numFmtId="0" fontId="0" fillId="0" borderId="0" xfId="0" applyAlignment="1">
      <alignment vertical="center"/>
    </xf>
    <xf numFmtId="0" fontId="2" fillId="0" borderId="1" xfId="3" applyNumberFormat="1" applyAlignment="1">
      <alignment vertical="center"/>
    </xf>
    <xf numFmtId="0" fontId="2" fillId="0" borderId="1" xfId="3" applyNumberFormat="1"/>
    <xf numFmtId="0" fontId="18" fillId="0" borderId="6" xfId="5" applyAlignment="1">
      <alignment vertical="center"/>
    </xf>
    <xf numFmtId="0" fontId="0" fillId="5" borderId="7" xfId="0" applyFill="1" applyBorder="1"/>
    <xf numFmtId="0" fontId="7" fillId="0" borderId="0" xfId="0" applyFont="1"/>
    <xf numFmtId="0" fontId="6" fillId="0" borderId="0" xfId="0" applyFont="1" applyAlignment="1">
      <alignment vertical="top"/>
    </xf>
    <xf numFmtId="0" fontId="6" fillId="0" borderId="0" xfId="0" applyFont="1" applyAlignment="1">
      <alignment vertical="top" wrapText="1"/>
    </xf>
    <xf numFmtId="0" fontId="20" fillId="5" borderId="7" xfId="0" applyFont="1" applyFill="1" applyBorder="1"/>
    <xf numFmtId="0" fontId="18" fillId="0" borderId="0" xfId="5" applyBorder="1"/>
    <xf numFmtId="0" fontId="4" fillId="0" borderId="8" xfId="0" applyFont="1" applyBorder="1"/>
    <xf numFmtId="0" fontId="4" fillId="0" borderId="10" xfId="0" applyFont="1" applyBorder="1"/>
    <xf numFmtId="0" fontId="19" fillId="3" borderId="12" xfId="0" applyFont="1" applyFill="1" applyBorder="1"/>
    <xf numFmtId="0" fontId="21" fillId="0" borderId="0" xfId="0" applyFont="1" applyAlignment="1">
      <alignment horizontal="right"/>
    </xf>
    <xf numFmtId="0" fontId="22" fillId="0" borderId="0" xfId="0" applyFont="1"/>
    <xf numFmtId="164" fontId="22" fillId="0" borderId="0" xfId="0" applyNumberFormat="1" applyFont="1"/>
    <xf numFmtId="0" fontId="23" fillId="0" borderId="0" xfId="0" applyFont="1"/>
    <xf numFmtId="164" fontId="23" fillId="0" borderId="0" xfId="0" applyNumberFormat="1" applyFont="1"/>
    <xf numFmtId="0" fontId="20" fillId="0" borderId="0" xfId="0" applyFont="1" applyAlignment="1">
      <alignment horizontal="right" vertical="center"/>
    </xf>
    <xf numFmtId="167" fontId="20" fillId="0" borderId="0" xfId="2" applyNumberFormat="1" applyFont="1" applyAlignment="1">
      <alignment vertical="center"/>
    </xf>
    <xf numFmtId="0" fontId="24" fillId="3" borderId="0" xfId="0" applyFont="1" applyFill="1"/>
    <xf numFmtId="166" fontId="0" fillId="0" borderId="0" xfId="2" applyNumberFormat="1" applyFont="1"/>
    <xf numFmtId="0" fontId="22" fillId="0" borderId="5" xfId="0" applyFont="1" applyBorder="1"/>
    <xf numFmtId="164" fontId="22" fillId="0" borderId="5" xfId="0" applyNumberFormat="1" applyFont="1" applyBorder="1"/>
    <xf numFmtId="0" fontId="0" fillId="0" borderId="5" xfId="0" applyBorder="1"/>
    <xf numFmtId="164" fontId="0" fillId="0" borderId="5" xfId="0" applyNumberFormat="1" applyBorder="1"/>
    <xf numFmtId="0" fontId="0" fillId="0" borderId="2" xfId="0" applyBorder="1" applyAlignment="1">
      <alignment horizontal="center"/>
    </xf>
    <xf numFmtId="0" fontId="25" fillId="2" borderId="2" xfId="4" applyNumberFormat="1" applyFont="1" applyAlignment="1">
      <alignment horizontal="center" vertical="center"/>
    </xf>
    <xf numFmtId="0" fontId="26" fillId="0" borderId="0" xfId="8"/>
    <xf numFmtId="0" fontId="27" fillId="0" borderId="0" xfId="0" applyFont="1" applyAlignment="1">
      <alignment vertical="center"/>
    </xf>
    <xf numFmtId="0" fontId="28" fillId="0" borderId="0" xfId="9">
      <alignment vertical="center"/>
    </xf>
    <xf numFmtId="0" fontId="0" fillId="0" borderId="0" xfId="0" applyAlignment="1">
      <alignment horizontal="center"/>
    </xf>
    <xf numFmtId="0" fontId="0" fillId="3" borderId="10" xfId="0" applyFill="1" applyBorder="1"/>
    <xf numFmtId="168" fontId="4" fillId="0" borderId="9" xfId="1" applyNumberFormat="1" applyFont="1" applyBorder="1"/>
    <xf numFmtId="168" fontId="4" fillId="0" borderId="11" xfId="1" applyNumberFormat="1" applyFont="1" applyBorder="1"/>
    <xf numFmtId="10" fontId="0" fillId="3" borderId="11" xfId="2" applyNumberFormat="1" applyFont="1" applyFill="1" applyBorder="1"/>
    <xf numFmtId="168" fontId="19" fillId="3" borderId="13" xfId="1" applyNumberFormat="1" applyFont="1" applyFill="1" applyBorder="1"/>
    <xf numFmtId="0" fontId="2" fillId="0" borderId="1" xfId="3" applyAlignment="1">
      <alignment vertical="top"/>
    </xf>
    <xf numFmtId="0" fontId="0" fillId="0" borderId="0" xfId="0" applyAlignment="1">
      <alignment vertical="top" wrapText="1"/>
    </xf>
    <xf numFmtId="0" fontId="0" fillId="0" borderId="0" xfId="0" applyAlignment="1">
      <alignment vertical="top"/>
    </xf>
    <xf numFmtId="0" fontId="18" fillId="0" borderId="6" xfId="5" applyAlignment="1">
      <alignment vertical="top"/>
    </xf>
    <xf numFmtId="164" fontId="0" fillId="0" borderId="0" xfId="0" applyNumberFormat="1" applyFont="1" applyAlignment="1">
      <alignment horizontal="right"/>
    </xf>
    <xf numFmtId="0" fontId="30" fillId="0" borderId="0" xfId="0" applyFont="1" applyAlignment="1">
      <alignment vertical="top" wrapText="1"/>
    </xf>
    <xf numFmtId="0" fontId="34" fillId="0" borderId="0" xfId="0" applyFont="1" applyAlignment="1">
      <alignment vertical="top" wrapText="1"/>
    </xf>
    <xf numFmtId="0" fontId="35" fillId="0" borderId="0" xfId="0" applyFont="1" applyAlignment="1">
      <alignment vertical="top" wrapText="1"/>
    </xf>
    <xf numFmtId="0" fontId="29" fillId="0" borderId="0" xfId="10" applyFont="1" applyAlignment="1">
      <alignment vertical="top" wrapText="1"/>
    </xf>
    <xf numFmtId="0" fontId="27" fillId="0" borderId="14" xfId="0" applyFont="1" applyBorder="1" applyAlignment="1">
      <alignment vertical="center"/>
    </xf>
  </cellXfs>
  <cellStyles count="11">
    <cellStyle name="Currency" xfId="1" builtinId="4"/>
    <cellStyle name="Heading 2" xfId="3" builtinId="17"/>
    <cellStyle name="Heading 3" xfId="5" builtinId="18"/>
    <cellStyle name="Hyperlink" xfId="10" builtinId="8"/>
    <cellStyle name="Input" xfId="4" builtinId="20"/>
    <cellStyle name="Normal" xfId="0" builtinId="0"/>
    <cellStyle name="Percent" xfId="2" builtinId="5"/>
    <cellStyle name="RangeCheck Result" xfId="7" xr:uid="{F8571231-3A29-4C28-9766-D9F945A62327}"/>
    <cellStyle name="Reference Label Link" xfId="8" xr:uid="{324E3B60-637F-4A12-BD38-62E4D750E88B}"/>
    <cellStyle name="Reference Long-Label Link" xfId="9" xr:uid="{47D7D535-D7A3-4E27-BE52-18F4AE1F2363}"/>
    <cellStyle name="Title" xfId="6" builtinId="15" customBuiltin="1"/>
  </cellStyles>
  <dxfs count="106">
    <dxf>
      <numFmt numFmtId="0" formatCode="General"/>
    </dxf>
    <dxf>
      <numFmt numFmtId="0" formatCode="General"/>
      <alignment horizontal="center" vertical="bottom" textRotation="0" wrapText="0" indent="0" justifyLastLine="0" shrinkToFit="0" readingOrder="0"/>
    </dxf>
    <dxf>
      <numFmt numFmtId="164" formatCode="&quot;$&quot;#,##0.00"/>
    </dxf>
    <dxf>
      <numFmt numFmtId="166" formatCode="&quot;$&quot;#,##0"/>
    </dxf>
    <dxf>
      <numFmt numFmtId="166" formatCode="&quot;$&quot;#,##0"/>
    </dxf>
    <dxf>
      <font>
        <b val="0"/>
        <i val="0"/>
        <strike val="0"/>
        <condense val="0"/>
        <extend val="0"/>
        <outline val="0"/>
        <shadow val="0"/>
        <u val="none"/>
        <vertAlign val="baseline"/>
        <sz val="11"/>
        <color theme="1"/>
        <name val="Aptos Narrow"/>
        <family val="2"/>
        <scheme val="minor"/>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00%"/>
      <alignment horizontal="right" vertical="bottom" textRotation="0" wrapText="0" indent="0" justifyLastLine="0" shrinkToFit="0" readingOrder="0"/>
    </dxf>
    <dxf>
      <font>
        <strike val="0"/>
        <outline val="0"/>
        <shadow val="0"/>
        <u val="none"/>
        <vertAlign val="baseline"/>
        <sz val="10"/>
        <color theme="1"/>
        <name val="Aptos Narrow"/>
        <family val="2"/>
        <scheme val="minor"/>
      </font>
    </dxf>
    <dxf>
      <numFmt numFmtId="0" formatCode="General"/>
    </dxf>
    <dxf>
      <numFmt numFmtId="164" formatCode="&quot;$&quot;#,##0.00"/>
    </dxf>
    <dxf>
      <numFmt numFmtId="166" formatCode="&quot;$&quot;#,##0"/>
    </dxf>
    <dxf>
      <numFmt numFmtId="166" formatCode="&quot;$&quot;#,##0"/>
    </dxf>
    <dxf>
      <font>
        <b val="0"/>
        <i val="0"/>
        <strike val="0"/>
        <condense val="0"/>
        <extend val="0"/>
        <outline val="0"/>
        <shadow val="0"/>
        <u val="none"/>
        <vertAlign val="baseline"/>
        <sz val="11"/>
        <color theme="1"/>
        <name val="Aptos Narrow"/>
        <family val="2"/>
        <scheme val="minor"/>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00%"/>
      <alignment horizontal="right" vertical="bottom" textRotation="0" wrapText="0" indent="0" justifyLastLine="0" shrinkToFit="0" readingOrder="0"/>
    </dxf>
    <dxf>
      <font>
        <strike val="0"/>
        <outline val="0"/>
        <shadow val="0"/>
        <u val="none"/>
        <vertAlign val="baseline"/>
        <sz val="10"/>
        <color theme="1"/>
        <name val="Aptos Narrow"/>
        <family val="2"/>
        <scheme val="minor"/>
      </font>
    </dxf>
    <dxf>
      <numFmt numFmtId="0" formatCode="General"/>
    </dxf>
    <dxf>
      <font>
        <b val="0"/>
        <i val="0"/>
        <strike val="0"/>
        <condense val="0"/>
        <extend val="0"/>
        <outline val="0"/>
        <shadow val="0"/>
        <u val="none"/>
        <vertAlign val="baseline"/>
        <sz val="11"/>
        <color theme="1"/>
        <name val="Aptos Narrow"/>
        <family val="2"/>
        <scheme val="minor"/>
      </font>
      <numFmt numFmtId="166" formatCode="&quot;$&quot;#,##0"/>
    </dxf>
    <dxf>
      <font>
        <b val="0"/>
        <i val="0"/>
        <strike val="0"/>
        <condense val="0"/>
        <extend val="0"/>
        <outline val="0"/>
        <shadow val="0"/>
        <u val="none"/>
        <vertAlign val="baseline"/>
        <sz val="11"/>
        <color theme="1"/>
        <name val="Aptos Narrow"/>
        <family val="2"/>
        <scheme val="minor"/>
      </font>
      <numFmt numFmtId="166" formatCode="&quot;$&quot;#,##0"/>
    </dxf>
    <dxf>
      <font>
        <b val="0"/>
        <i val="0"/>
        <strike val="0"/>
        <condense val="0"/>
        <extend val="0"/>
        <outline val="0"/>
        <shadow val="0"/>
        <u val="none"/>
        <vertAlign val="baseline"/>
        <sz val="11"/>
        <color theme="1"/>
        <name val="Aptos Narrow"/>
        <family val="2"/>
        <scheme val="minor"/>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00%"/>
    </dxf>
    <dxf>
      <numFmt numFmtId="0" formatCode="General"/>
    </dxf>
    <dxf>
      <numFmt numFmtId="164" formatCode="&quot;$&quot;#,##0.00"/>
    </dxf>
    <dxf>
      <numFmt numFmtId="166" formatCode="&quot;$&quot;#,##0"/>
    </dxf>
    <dxf>
      <numFmt numFmtId="166" formatCode="&quot;$&quot;#,##0"/>
    </dxf>
    <dxf>
      <font>
        <b val="0"/>
        <i val="0"/>
        <strike val="0"/>
        <condense val="0"/>
        <extend val="0"/>
        <outline val="0"/>
        <shadow val="0"/>
        <u val="none"/>
        <vertAlign val="baseline"/>
        <sz val="11"/>
        <color theme="1"/>
        <name val="Aptos Narrow"/>
        <family val="2"/>
        <scheme val="minor"/>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00%"/>
      <alignment horizontal="right" vertical="bottom" textRotation="0" wrapText="0" indent="0" justifyLastLine="0" shrinkToFit="0" readingOrder="0"/>
    </dxf>
    <dxf>
      <font>
        <strike val="0"/>
        <outline val="0"/>
        <shadow val="0"/>
        <u val="none"/>
        <vertAlign val="baseline"/>
        <sz val="10"/>
        <color theme="1"/>
        <name val="Aptos Narrow"/>
        <family val="2"/>
        <scheme val="minor"/>
      </font>
    </dxf>
    <dxf>
      <numFmt numFmtId="0" formatCode="General"/>
    </dxf>
    <dxf>
      <numFmt numFmtId="166" formatCode="&quot;$&quot;#,##0"/>
    </dxf>
    <dxf>
      <font>
        <b val="0"/>
        <i val="0"/>
        <strike val="0"/>
        <condense val="0"/>
        <extend val="0"/>
        <outline val="0"/>
        <shadow val="0"/>
        <u val="none"/>
        <vertAlign val="baseline"/>
        <sz val="11"/>
        <color theme="1"/>
        <name val="Aptos Narrow"/>
        <family val="2"/>
        <scheme val="minor"/>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00%"/>
      <alignment horizontal="right" vertical="bottom" textRotation="0" wrapText="0" indent="0" justifyLastLine="0" shrinkToFit="0" readingOrder="0"/>
    </dxf>
    <dxf>
      <font>
        <strike val="0"/>
        <outline val="0"/>
        <shadow val="0"/>
        <u val="none"/>
        <vertAlign val="baseline"/>
        <sz val="10"/>
        <color theme="1"/>
        <name val="Aptos Narrow"/>
        <family val="2"/>
        <scheme val="minor"/>
      </font>
      <alignment horizontal="general" vertical="top" textRotation="0" indent="0" justifyLastLine="0" shrinkToFit="0" readingOrder="0"/>
    </dxf>
    <dxf>
      <numFmt numFmtId="0" formatCode="General"/>
    </dxf>
    <dxf>
      <font>
        <b val="0"/>
        <i val="0"/>
        <strike val="0"/>
        <condense val="0"/>
        <extend val="0"/>
        <outline val="0"/>
        <shadow val="0"/>
        <u val="none"/>
        <vertAlign val="baseline"/>
        <sz val="11"/>
        <color theme="1"/>
        <name val="Aptos Narrow"/>
        <family val="2"/>
        <scheme val="minor"/>
      </font>
      <numFmt numFmtId="164" formatCode="&quot;$&quot;#,##0.00"/>
    </dxf>
    <dxf>
      <font>
        <b val="0"/>
        <i val="0"/>
        <strike val="0"/>
        <condense val="0"/>
        <extend val="0"/>
        <outline val="0"/>
        <shadow val="0"/>
        <u val="none"/>
        <vertAlign val="baseline"/>
        <sz val="11"/>
        <color theme="1"/>
        <name val="Aptos Narrow"/>
        <family val="2"/>
        <scheme val="minor"/>
      </font>
      <numFmt numFmtId="165" formatCode="0.000%"/>
    </dxf>
    <dxf>
      <font>
        <b val="0"/>
        <i val="0"/>
        <strike val="0"/>
        <condense val="0"/>
        <extend val="0"/>
        <outline val="0"/>
        <shadow val="0"/>
        <u val="none"/>
        <vertAlign val="baseline"/>
        <sz val="11"/>
        <color theme="1"/>
        <name val="Aptos Narrow"/>
        <family val="2"/>
        <scheme val="minor"/>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00%"/>
    </dxf>
    <dxf>
      <numFmt numFmtId="0" formatCode="General"/>
    </dxf>
    <dxf>
      <numFmt numFmtId="164" formatCode="&quot;$&quot;#,##0.00"/>
    </dxf>
    <dxf>
      <numFmt numFmtId="166" formatCode="&quot;$&quot;#,##0"/>
    </dxf>
    <dxf>
      <font>
        <b val="0"/>
        <i val="0"/>
        <strike val="0"/>
        <condense val="0"/>
        <extend val="0"/>
        <outline val="0"/>
        <shadow val="0"/>
        <u val="none"/>
        <vertAlign val="baseline"/>
        <sz val="11"/>
        <color theme="1"/>
        <name val="Aptos Narrow"/>
        <family val="2"/>
        <scheme val="minor"/>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00%"/>
      <alignment horizontal="right" vertical="bottom" textRotation="0" wrapText="0" indent="0" justifyLastLine="0" shrinkToFit="0" readingOrder="0"/>
    </dxf>
    <dxf>
      <font>
        <strike val="0"/>
        <outline val="0"/>
        <shadow val="0"/>
        <u val="none"/>
        <vertAlign val="baseline"/>
        <sz val="10"/>
        <color theme="1"/>
        <name val="Aptos Narrow"/>
        <family val="2"/>
        <scheme val="minor"/>
      </font>
    </dxf>
    <dxf>
      <numFmt numFmtId="0" formatCode="General"/>
    </dxf>
    <dxf>
      <font>
        <strike val="0"/>
        <outline val="0"/>
        <shadow val="0"/>
        <u val="none"/>
        <vertAlign val="baseline"/>
        <sz val="10"/>
        <color theme="1"/>
        <name val="Aptos Narrow"/>
        <family val="2"/>
        <scheme val="minor"/>
      </font>
    </dxf>
    <dxf>
      <numFmt numFmtId="0" formatCode="General"/>
    </dxf>
    <dxf>
      <numFmt numFmtId="164" formatCode="&quot;$&quot;#,##0.00"/>
    </dxf>
    <dxf>
      <numFmt numFmtId="166" formatCode="&quot;$&quot;#,##0"/>
    </dxf>
    <dxf>
      <numFmt numFmtId="166" formatCode="&quot;$&quot;#,##0"/>
    </dxf>
    <dxf>
      <font>
        <b val="0"/>
        <i val="0"/>
        <strike val="0"/>
        <condense val="0"/>
        <extend val="0"/>
        <outline val="0"/>
        <shadow val="0"/>
        <u val="none"/>
        <vertAlign val="baseline"/>
        <sz val="11"/>
        <color theme="1"/>
        <name val="Aptos Narrow"/>
        <family val="2"/>
        <scheme val="minor"/>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00%"/>
      <alignment horizontal="right" vertical="bottom" textRotation="0" wrapText="0" indent="0" justifyLastLine="0" shrinkToFit="0" readingOrder="0"/>
    </dxf>
    <dxf>
      <font>
        <strike val="0"/>
        <outline val="0"/>
        <shadow val="0"/>
        <u val="none"/>
        <vertAlign val="baseline"/>
        <sz val="10"/>
        <color theme="1"/>
        <name val="Aptos Narrow"/>
        <family val="2"/>
        <scheme val="minor"/>
      </font>
    </dxf>
    <dxf>
      <numFmt numFmtId="0" formatCode="General"/>
    </dxf>
    <dxf>
      <font>
        <strike val="0"/>
        <outline val="0"/>
        <shadow val="0"/>
        <u val="none"/>
        <vertAlign val="baseline"/>
        <sz val="10"/>
        <color theme="1"/>
        <name val="Aptos Narrow"/>
        <family val="2"/>
        <scheme val="minor"/>
      </font>
    </dxf>
    <dxf>
      <font>
        <color theme="0" tint="-0.499984740745262"/>
      </font>
    </dxf>
    <dxf>
      <font>
        <b/>
        <i val="0"/>
      </font>
    </dxf>
    <dxf>
      <font>
        <color theme="0" tint="-0.499984740745262"/>
      </font>
    </dxf>
    <dxf>
      <font>
        <b/>
        <i val="0"/>
      </font>
    </dxf>
    <dxf>
      <font>
        <color rgb="FF00B050"/>
      </font>
    </dxf>
    <dxf>
      <font>
        <color rgb="FFFF0000"/>
      </font>
      <fill>
        <patternFill>
          <bgColor theme="5" tint="0.79998168889431442"/>
        </patternFill>
      </fill>
    </dxf>
    <dxf>
      <font>
        <color theme="0" tint="-0.499984740745262"/>
      </font>
    </dxf>
    <dxf>
      <font>
        <b/>
        <i val="0"/>
      </font>
    </dxf>
    <dxf>
      <font>
        <color rgb="FF00B050"/>
      </font>
    </dxf>
    <dxf>
      <font>
        <color rgb="FFFF0000"/>
      </font>
      <fill>
        <patternFill>
          <bgColor theme="5" tint="0.79998168889431442"/>
        </patternFill>
      </fill>
    </dxf>
    <dxf>
      <font>
        <color theme="0" tint="-0.499984740745262"/>
      </font>
    </dxf>
    <dxf>
      <font>
        <b/>
        <i val="0"/>
      </font>
    </dxf>
    <dxf>
      <font>
        <color rgb="FF00B050"/>
      </font>
    </dxf>
    <dxf>
      <font>
        <color rgb="FFFF0000"/>
      </font>
      <fill>
        <patternFill>
          <bgColor theme="5" tint="0.79998168889431442"/>
        </patternFill>
      </fill>
    </dxf>
    <dxf>
      <font>
        <color theme="0" tint="-0.499984740745262"/>
      </font>
    </dxf>
    <dxf>
      <font>
        <b/>
        <i val="0"/>
      </font>
    </dxf>
    <dxf>
      <font>
        <color rgb="FF00B050"/>
      </font>
    </dxf>
    <dxf>
      <font>
        <color rgb="FFFF0000"/>
      </font>
      <fill>
        <patternFill>
          <bgColor theme="5" tint="0.79998168889431442"/>
        </patternFill>
      </fill>
    </dxf>
    <dxf>
      <font>
        <color theme="0" tint="-0.499984740745262"/>
      </font>
    </dxf>
    <dxf>
      <font>
        <b/>
        <i val="0"/>
      </font>
    </dxf>
    <dxf>
      <font>
        <color rgb="FF00B050"/>
      </font>
    </dxf>
    <dxf>
      <font>
        <color rgb="FFFF0000"/>
      </font>
      <fill>
        <patternFill>
          <bgColor theme="5" tint="0.79998168889431442"/>
        </patternFill>
      </fill>
    </dxf>
    <dxf>
      <font>
        <color theme="0" tint="-0.499984740745262"/>
      </font>
    </dxf>
    <dxf>
      <font>
        <b/>
        <i val="0"/>
      </font>
    </dxf>
    <dxf>
      <font>
        <color rgb="FF00B050"/>
      </font>
    </dxf>
    <dxf>
      <font>
        <color rgb="FFFF0000"/>
      </font>
      <fill>
        <patternFill>
          <bgColor theme="5" tint="0.79998168889431442"/>
        </patternFill>
      </fill>
    </dxf>
    <dxf>
      <font>
        <color theme="0" tint="-0.499984740745262"/>
      </font>
    </dxf>
    <dxf>
      <font>
        <b/>
        <i val="0"/>
      </font>
    </dxf>
    <dxf>
      <font>
        <color rgb="FF00B050"/>
      </font>
    </dxf>
    <dxf>
      <font>
        <color rgb="FFFF0000"/>
      </font>
      <fill>
        <patternFill>
          <bgColor theme="5" tint="0.79998168889431442"/>
        </patternFill>
      </fill>
    </dxf>
    <dxf>
      <font>
        <color theme="0" tint="-0.499984740745262"/>
      </font>
    </dxf>
    <dxf>
      <font>
        <b/>
        <i val="0"/>
      </font>
    </dxf>
    <dxf>
      <font>
        <color rgb="FF00B050"/>
      </font>
    </dxf>
    <dxf>
      <font>
        <color rgb="FFFF0000"/>
      </font>
      <fill>
        <patternFill>
          <bgColor theme="5" tint="0.79998168889431442"/>
        </patternFill>
      </fill>
    </dxf>
    <dxf>
      <font>
        <color theme="0" tint="-0.499984740745262"/>
      </font>
    </dxf>
    <dxf>
      <font>
        <b/>
        <i val="0"/>
      </font>
    </dxf>
    <dxf>
      <font>
        <color rgb="FF00B050"/>
      </font>
    </dxf>
    <dxf>
      <font>
        <color rgb="FFFF0000"/>
      </font>
      <fill>
        <patternFill>
          <bgColor theme="5" tint="0.79998168889431442"/>
        </patternFill>
      </fill>
    </dxf>
    <dxf>
      <font>
        <color rgb="FF00B050"/>
      </font>
    </dxf>
    <dxf>
      <font>
        <color rgb="FFFF0000"/>
      </font>
      <fill>
        <patternFill>
          <bgColor theme="5" tint="0.79998168889431442"/>
        </patternFill>
      </fill>
    </dxf>
    <dxf>
      <numFmt numFmtId="164" formatCode="&quot;$&quot;#,##0.00"/>
    </dxf>
    <dxf>
      <font>
        <b val="0"/>
        <i val="0"/>
        <strike val="0"/>
        <condense val="0"/>
        <extend val="0"/>
        <outline val="0"/>
        <shadow val="0"/>
        <u val="none"/>
        <vertAlign val="baseline"/>
        <sz val="12"/>
        <color theme="1"/>
        <name val="Aptos Narrow"/>
        <family val="2"/>
        <scheme val="minor"/>
      </font>
      <numFmt numFmtId="164" formatCode="&quot;$&quot;#,##0.00"/>
      <fill>
        <patternFill patternType="solid">
          <fgColor indexed="64"/>
          <bgColor theme="8" tint="0.79998168889431442"/>
        </patternFill>
      </fill>
    </dxf>
    <dxf>
      <font>
        <b val="0"/>
        <i val="0"/>
        <strike val="0"/>
        <condense val="0"/>
        <extend val="0"/>
        <outline val="0"/>
        <shadow val="0"/>
        <u val="none"/>
        <vertAlign val="baseline"/>
        <sz val="12"/>
        <color theme="1"/>
        <name val="Aptos Narrow"/>
        <family val="2"/>
        <scheme val="minor"/>
      </font>
      <fill>
        <patternFill patternType="solid">
          <fgColor indexed="64"/>
          <bgColor theme="8" tint="0.79998168889431442"/>
        </patternFill>
      </fill>
    </dxf>
    <dxf>
      <font>
        <strike val="0"/>
        <outline val="0"/>
        <shadow val="0"/>
        <u val="none"/>
        <vertAlign val="baseline"/>
        <sz val="12"/>
        <color theme="1"/>
        <name val="Aptos Narrow"/>
        <family val="2"/>
        <scheme val="minor"/>
      </font>
      <fill>
        <patternFill patternType="solid">
          <fgColor indexed="64"/>
          <bgColor theme="8" tint="0.79998168889431442"/>
        </patternFill>
      </fill>
    </dxf>
    <dxf>
      <font>
        <color rgb="FFC00000"/>
      </font>
      <fill>
        <patternFill>
          <bgColor theme="5" tint="0.79998168889431442"/>
        </patternFill>
      </fill>
    </dxf>
    <dxf>
      <font>
        <color rgb="FFC00000"/>
      </font>
      <fill>
        <patternFill>
          <bgColor theme="5" tint="0.79998168889431442"/>
        </patternFill>
      </fill>
    </dxf>
    <dxf>
      <font>
        <color rgb="FFC00000"/>
      </font>
      <fill>
        <patternFill>
          <bgColor theme="5" tint="0.79998168889431442"/>
        </patternFill>
      </fill>
    </dxf>
    <dxf>
      <font>
        <color rgb="FFC00000"/>
      </font>
      <fill>
        <patternFill>
          <bgColor theme="5" tint="0.79998168889431442"/>
        </patternFill>
      </fill>
    </dxf>
    <dxf>
      <font>
        <color rgb="FFC00000"/>
      </font>
      <fill>
        <patternFill>
          <bgColor theme="5" tint="0.79998168889431442"/>
        </patternFill>
      </fill>
    </dxf>
    <dxf>
      <font>
        <color rgb="FFC00000"/>
      </font>
      <fill>
        <patternFill>
          <bgColor theme="5" tint="0.79998168889431442"/>
        </patternFill>
      </fill>
    </dxf>
    <dxf>
      <font>
        <color rgb="FFC00000"/>
      </font>
      <fill>
        <patternFill>
          <bgColor theme="5" tint="0.79998168889431442"/>
        </patternFill>
      </fill>
    </dxf>
    <dxf>
      <font>
        <color rgb="FFC00000"/>
      </font>
      <fill>
        <patternFill>
          <bgColor theme="5" tint="0.79998168889431442"/>
        </patternFill>
      </fill>
    </dxf>
  </dxfs>
  <tableStyles count="0" defaultTableStyle="TableStyleMedium2" defaultPivotStyle="PivotStyleLight16"/>
  <colors>
    <mruColors>
      <color rgb="FFFFCC99"/>
      <color rgb="FFFF99CC"/>
      <color rgb="FFFF6699"/>
      <color rgb="FFFF0066"/>
      <color rgb="FFCC0066"/>
      <color rgb="FF990033"/>
      <color rgb="FF7F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Estimator!$B$33</c:f>
              <c:strCache>
                <c:ptCount val="1"/>
                <c:pt idx="0">
                  <c:v>Total Gross Wages:</c:v>
                </c:pt>
              </c:strCache>
            </c:strRef>
          </c:tx>
          <c:spPr>
            <a:solidFill>
              <a:schemeClr val="accent6">
                <a:lumMod val="60000"/>
                <a:lumOff val="40000"/>
              </a:schemeClr>
            </a:solidFill>
            <a:ln>
              <a:noFill/>
            </a:ln>
            <a:effectLst/>
          </c:spPr>
          <c:invertIfNegative val="0"/>
          <c:dLbls>
            <c:delete val="1"/>
          </c:dLbls>
          <c:cat>
            <c:strLit>
              <c:ptCount val="1"/>
              <c:pt idx="0">
                <c:v>Income</c:v>
              </c:pt>
            </c:strLit>
          </c:cat>
          <c:val>
            <c:numRef>
              <c:f>Estimator!$C$33</c:f>
              <c:numCache>
                <c:formatCode>"$"#,##0.00</c:formatCode>
                <c:ptCount val="1"/>
                <c:pt idx="0">
                  <c:v>80000</c:v>
                </c:pt>
              </c:numCache>
            </c:numRef>
          </c:val>
          <c:extLst>
            <c:ext xmlns:c16="http://schemas.microsoft.com/office/drawing/2014/chart" uri="{C3380CC4-5D6E-409C-BE32-E72D297353CC}">
              <c16:uniqueId val="{00000000-CC53-402E-B86A-446D355F650E}"/>
            </c:ext>
          </c:extLst>
        </c:ser>
        <c:ser>
          <c:idx val="1"/>
          <c:order val="1"/>
          <c:tx>
            <c:strRef>
              <c:f>Estimator!$B$34</c:f>
              <c:strCache>
                <c:ptCount val="1"/>
                <c:pt idx="0">
                  <c:v>Total Rental &amp; similar Income:</c:v>
                </c:pt>
              </c:strCache>
            </c:strRef>
          </c:tx>
          <c:spPr>
            <a:solidFill>
              <a:schemeClr val="tx2">
                <a:lumMod val="50000"/>
                <a:lumOff val="50000"/>
              </a:schemeClr>
            </a:solidFill>
            <a:ln>
              <a:noFill/>
            </a:ln>
            <a:effectLst/>
          </c:spPr>
          <c:invertIfNegative val="0"/>
          <c:dLbls>
            <c:delete val="1"/>
          </c:dLbls>
          <c:cat>
            <c:strLit>
              <c:ptCount val="1"/>
              <c:pt idx="0">
                <c:v>Income</c:v>
              </c:pt>
            </c:strLit>
          </c:cat>
          <c:val>
            <c:numRef>
              <c:f>Estimator!$C$34</c:f>
              <c:numCache>
                <c:formatCode>"$"#,##0.00</c:formatCode>
                <c:ptCount val="1"/>
                <c:pt idx="0">
                  <c:v>10000</c:v>
                </c:pt>
              </c:numCache>
            </c:numRef>
          </c:val>
          <c:extLst>
            <c:ext xmlns:c16="http://schemas.microsoft.com/office/drawing/2014/chart" uri="{C3380CC4-5D6E-409C-BE32-E72D297353CC}">
              <c16:uniqueId val="{00000001-CC53-402E-B86A-446D355F650E}"/>
            </c:ext>
          </c:extLst>
        </c:ser>
        <c:ser>
          <c:idx val="2"/>
          <c:order val="2"/>
          <c:tx>
            <c:strRef>
              <c:f>Estimator!$B$35</c:f>
              <c:strCache>
                <c:ptCount val="1"/>
                <c:pt idx="0">
                  <c:v>Total Long-term Capital Gains:</c:v>
                </c:pt>
              </c:strCache>
            </c:strRef>
          </c:tx>
          <c:spPr>
            <a:solidFill>
              <a:schemeClr val="accent5">
                <a:lumMod val="60000"/>
                <a:lumOff val="40000"/>
              </a:schemeClr>
            </a:solidFill>
            <a:ln>
              <a:noFill/>
            </a:ln>
            <a:effectLst/>
          </c:spPr>
          <c:invertIfNegative val="0"/>
          <c:dLbls>
            <c:delete val="1"/>
          </c:dLbls>
          <c:cat>
            <c:strLit>
              <c:ptCount val="1"/>
              <c:pt idx="0">
                <c:v>Income</c:v>
              </c:pt>
            </c:strLit>
          </c:cat>
          <c:val>
            <c:numRef>
              <c:f>Estimator!$C$35</c:f>
              <c:numCache>
                <c:formatCode>"$"#,##0.00</c:formatCode>
                <c:ptCount val="1"/>
                <c:pt idx="0">
                  <c:v>5000</c:v>
                </c:pt>
              </c:numCache>
            </c:numRef>
          </c:val>
          <c:extLst>
            <c:ext xmlns:c16="http://schemas.microsoft.com/office/drawing/2014/chart" uri="{C3380CC4-5D6E-409C-BE32-E72D297353CC}">
              <c16:uniqueId val="{00000002-CC53-402E-B86A-446D355F650E}"/>
            </c:ext>
          </c:extLst>
        </c:ser>
        <c:ser>
          <c:idx val="3"/>
          <c:order val="3"/>
          <c:tx>
            <c:strRef>
              <c:f>Estimator!$B$36</c:f>
              <c:strCache>
                <c:ptCount val="1"/>
                <c:pt idx="0">
                  <c:v>Total Short-term Capital Gains:</c:v>
                </c:pt>
              </c:strCache>
            </c:strRef>
          </c:tx>
          <c:spPr>
            <a:solidFill>
              <a:schemeClr val="accent2">
                <a:lumMod val="60000"/>
                <a:lumOff val="40000"/>
              </a:schemeClr>
            </a:solidFill>
            <a:ln>
              <a:noFill/>
            </a:ln>
            <a:effectLst/>
          </c:spPr>
          <c:invertIfNegative val="0"/>
          <c:dLbls>
            <c:delete val="1"/>
          </c:dLbls>
          <c:cat>
            <c:strLit>
              <c:ptCount val="1"/>
              <c:pt idx="0">
                <c:v>Income</c:v>
              </c:pt>
            </c:strLit>
          </c:cat>
          <c:val>
            <c:numRef>
              <c:f>Estimator!$C$36</c:f>
              <c:numCache>
                <c:formatCode>"$"#,##0.00</c:formatCode>
                <c:ptCount val="1"/>
                <c:pt idx="0">
                  <c:v>2000</c:v>
                </c:pt>
              </c:numCache>
            </c:numRef>
          </c:val>
          <c:extLst>
            <c:ext xmlns:c16="http://schemas.microsoft.com/office/drawing/2014/chart" uri="{C3380CC4-5D6E-409C-BE32-E72D297353CC}">
              <c16:uniqueId val="{00000003-CC53-402E-B86A-446D355F650E}"/>
            </c:ext>
          </c:extLst>
        </c:ser>
        <c:dLbls>
          <c:dLblPos val="ctr"/>
          <c:showLegendKey val="0"/>
          <c:showVal val="1"/>
          <c:showCatName val="0"/>
          <c:showSerName val="0"/>
          <c:showPercent val="0"/>
          <c:showBubbleSize val="0"/>
        </c:dLbls>
        <c:gapWidth val="150"/>
        <c:overlap val="100"/>
        <c:axId val="1176685008"/>
        <c:axId val="1176685488"/>
      </c:barChart>
      <c:catAx>
        <c:axId val="1176685008"/>
        <c:scaling>
          <c:orientation val="minMax"/>
        </c:scaling>
        <c:delete val="0"/>
        <c:axPos val="b"/>
        <c:numFmt formatCode="General" sourceLinked="1"/>
        <c:majorTickMark val="out"/>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85488"/>
        <c:crosses val="autoZero"/>
        <c:auto val="1"/>
        <c:lblAlgn val="ctr"/>
        <c:lblOffset val="100"/>
        <c:noMultiLvlLbl val="0"/>
      </c:catAx>
      <c:valAx>
        <c:axId val="117668548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85008"/>
        <c:crosses val="autoZero"/>
        <c:crossBetween val="between"/>
      </c:valAx>
      <c:spPr>
        <a:noFill/>
        <a:ln>
          <a:noFill/>
        </a:ln>
        <a:effectLst/>
      </c:spPr>
    </c:plotArea>
    <c:legend>
      <c:legendPos val="r"/>
      <c:layout>
        <c:manualLayout>
          <c:xMode val="edge"/>
          <c:yMode val="edge"/>
          <c:x val="0.64666250000000003"/>
          <c:y val="0.21548214285714282"/>
          <c:w val="0.32687916666666667"/>
          <c:h val="0.69044126984126974"/>
        </c:manualLayout>
      </c:layout>
      <c:overlay val="0"/>
      <c:spPr>
        <a:noFill/>
        <a:ln>
          <a:solidFill>
            <a:schemeClr val="bg1">
              <a:lumMod val="9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Extimated Tax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Estimator!$B$46</c:f>
              <c:strCache>
                <c:ptCount val="1"/>
                <c:pt idx="0">
                  <c:v>Effective Federal Income Tax</c:v>
                </c:pt>
              </c:strCache>
            </c:strRef>
          </c:tx>
          <c:spPr>
            <a:solidFill>
              <a:schemeClr val="accent2"/>
            </a:solidFill>
            <a:ln>
              <a:noFill/>
            </a:ln>
            <a:effectLst/>
          </c:spPr>
          <c:invertIfNegative val="0"/>
          <c:cat>
            <c:strLit>
              <c:ptCount val="1"/>
              <c:pt idx="0">
                <c:v>Extimated Tax</c:v>
              </c:pt>
            </c:strLit>
          </c:cat>
          <c:val>
            <c:numRef>
              <c:f>Estimator!$C$46</c:f>
              <c:numCache>
                <c:formatCode>"$"#,##0.00</c:formatCode>
                <c:ptCount val="1"/>
                <c:pt idx="0">
                  <c:v>10754</c:v>
                </c:pt>
              </c:numCache>
            </c:numRef>
          </c:val>
          <c:extLst>
            <c:ext xmlns:c16="http://schemas.microsoft.com/office/drawing/2014/chart" uri="{C3380CC4-5D6E-409C-BE32-E72D297353CC}">
              <c16:uniqueId val="{00000000-AB71-4894-9AE3-71A0D740D7AC}"/>
            </c:ext>
          </c:extLst>
        </c:ser>
        <c:ser>
          <c:idx val="1"/>
          <c:order val="1"/>
          <c:tx>
            <c:strRef>
              <c:f>Estimator!$B$47</c:f>
              <c:strCache>
                <c:ptCount val="1"/>
                <c:pt idx="0">
                  <c:v>Long Term Capital Gain Tax (LTCG)</c:v>
                </c:pt>
              </c:strCache>
            </c:strRef>
          </c:tx>
          <c:spPr>
            <a:solidFill>
              <a:schemeClr val="accent5"/>
            </a:solidFill>
            <a:ln>
              <a:noFill/>
            </a:ln>
            <a:effectLst/>
          </c:spPr>
          <c:invertIfNegative val="0"/>
          <c:cat>
            <c:strLit>
              <c:ptCount val="1"/>
              <c:pt idx="0">
                <c:v>Extimated Tax</c:v>
              </c:pt>
            </c:strLit>
          </c:cat>
          <c:val>
            <c:numRef>
              <c:f>Estimator!$C$47</c:f>
              <c:numCache>
                <c:formatCode>"$"#,##0.00</c:formatCode>
                <c:ptCount val="1"/>
                <c:pt idx="0">
                  <c:v>750</c:v>
                </c:pt>
              </c:numCache>
            </c:numRef>
          </c:val>
          <c:extLst>
            <c:ext xmlns:c16="http://schemas.microsoft.com/office/drawing/2014/chart" uri="{C3380CC4-5D6E-409C-BE32-E72D297353CC}">
              <c16:uniqueId val="{00000001-AB71-4894-9AE3-71A0D740D7AC}"/>
            </c:ext>
          </c:extLst>
        </c:ser>
        <c:ser>
          <c:idx val="2"/>
          <c:order val="2"/>
          <c:tx>
            <c:strRef>
              <c:f>Estimator!$B$48</c:f>
              <c:strCache>
                <c:ptCount val="1"/>
                <c:pt idx="0">
                  <c:v>Social Security Tax</c:v>
                </c:pt>
              </c:strCache>
            </c:strRef>
          </c:tx>
          <c:spPr>
            <a:solidFill>
              <a:schemeClr val="tx2"/>
            </a:solidFill>
            <a:ln>
              <a:noFill/>
            </a:ln>
            <a:effectLst/>
          </c:spPr>
          <c:invertIfNegative val="0"/>
          <c:cat>
            <c:strLit>
              <c:ptCount val="1"/>
              <c:pt idx="0">
                <c:v>Extimated Tax</c:v>
              </c:pt>
            </c:strLit>
          </c:cat>
          <c:val>
            <c:numRef>
              <c:f>Estimator!$C$48</c:f>
              <c:numCache>
                <c:formatCode>"$"#,##0.00</c:formatCode>
                <c:ptCount val="1"/>
                <c:pt idx="0">
                  <c:v>4960</c:v>
                </c:pt>
              </c:numCache>
            </c:numRef>
          </c:val>
          <c:extLst>
            <c:ext xmlns:c16="http://schemas.microsoft.com/office/drawing/2014/chart" uri="{C3380CC4-5D6E-409C-BE32-E72D297353CC}">
              <c16:uniqueId val="{00000002-AB71-4894-9AE3-71A0D740D7AC}"/>
            </c:ext>
          </c:extLst>
        </c:ser>
        <c:ser>
          <c:idx val="3"/>
          <c:order val="3"/>
          <c:tx>
            <c:strRef>
              <c:f>Estimator!$B$49</c:f>
              <c:strCache>
                <c:ptCount val="1"/>
                <c:pt idx="0">
                  <c:v>Medicare Wages Tax</c:v>
                </c:pt>
              </c:strCache>
            </c:strRef>
          </c:tx>
          <c:spPr>
            <a:solidFill>
              <a:schemeClr val="accent6"/>
            </a:solidFill>
            <a:ln>
              <a:noFill/>
            </a:ln>
            <a:effectLst/>
          </c:spPr>
          <c:invertIfNegative val="0"/>
          <c:cat>
            <c:strLit>
              <c:ptCount val="1"/>
              <c:pt idx="0">
                <c:v>Extimated Tax</c:v>
              </c:pt>
            </c:strLit>
          </c:cat>
          <c:val>
            <c:numRef>
              <c:f>Estimator!$C$49</c:f>
              <c:numCache>
                <c:formatCode>"$"#,##0.00</c:formatCode>
                <c:ptCount val="1"/>
                <c:pt idx="0">
                  <c:v>1160</c:v>
                </c:pt>
              </c:numCache>
            </c:numRef>
          </c:val>
          <c:extLst>
            <c:ext xmlns:c16="http://schemas.microsoft.com/office/drawing/2014/chart" uri="{C3380CC4-5D6E-409C-BE32-E72D297353CC}">
              <c16:uniqueId val="{00000003-AB71-4894-9AE3-71A0D740D7AC}"/>
            </c:ext>
          </c:extLst>
        </c:ser>
        <c:ser>
          <c:idx val="4"/>
          <c:order val="4"/>
          <c:tx>
            <c:strRef>
              <c:f>Estimator!$B$50</c:f>
              <c:strCache>
                <c:ptCount val="1"/>
                <c:pt idx="0">
                  <c:v>Medicare Net Investment Income Tax (NIIT)</c:v>
                </c:pt>
              </c:strCache>
            </c:strRef>
          </c:tx>
          <c:spPr>
            <a:solidFill>
              <a:schemeClr val="accent3">
                <a:lumMod val="75000"/>
              </a:schemeClr>
            </a:solidFill>
            <a:ln>
              <a:noFill/>
            </a:ln>
            <a:effectLst/>
          </c:spPr>
          <c:invertIfNegative val="0"/>
          <c:cat>
            <c:strLit>
              <c:ptCount val="1"/>
              <c:pt idx="0">
                <c:v>Extimated Tax</c:v>
              </c:pt>
            </c:strLit>
          </c:cat>
          <c:val>
            <c:numRef>
              <c:f>Estimator!$C$50</c:f>
              <c:numCache>
                <c:formatCode>"$"#,##0.00</c:formatCode>
                <c:ptCount val="1"/>
                <c:pt idx="0">
                  <c:v>0</c:v>
                </c:pt>
              </c:numCache>
            </c:numRef>
          </c:val>
          <c:extLst>
            <c:ext xmlns:c16="http://schemas.microsoft.com/office/drawing/2014/chart" uri="{C3380CC4-5D6E-409C-BE32-E72D297353CC}">
              <c16:uniqueId val="{00000004-AB71-4894-9AE3-71A0D740D7AC}"/>
            </c:ext>
          </c:extLst>
        </c:ser>
        <c:ser>
          <c:idx val="5"/>
          <c:order val="5"/>
          <c:tx>
            <c:v>Net Income</c:v>
          </c:tx>
          <c:spPr>
            <a:noFill/>
            <a:ln>
              <a:noFill/>
            </a:ln>
            <a:effectLst/>
          </c:spPr>
          <c:invertIfNegative val="0"/>
          <c:cat>
            <c:strLit>
              <c:ptCount val="1"/>
              <c:pt idx="0">
                <c:v>Extimated Tax</c:v>
              </c:pt>
            </c:strLit>
          </c:cat>
          <c:val>
            <c:numRef>
              <c:f>Estimator!$G$48</c:f>
              <c:numCache>
                <c:formatCode>_("$"* #,##0_);_("$"* \(#,##0\);_("$"* "-"??_);_(@_)</c:formatCode>
                <c:ptCount val="1"/>
                <c:pt idx="0">
                  <c:v>79376</c:v>
                </c:pt>
              </c:numCache>
            </c:numRef>
          </c:val>
          <c:extLst>
            <c:ext xmlns:c16="http://schemas.microsoft.com/office/drawing/2014/chart" uri="{C3380CC4-5D6E-409C-BE32-E72D297353CC}">
              <c16:uniqueId val="{00000005-AB71-4894-9AE3-71A0D740D7AC}"/>
            </c:ext>
          </c:extLst>
        </c:ser>
        <c:dLbls>
          <c:showLegendKey val="0"/>
          <c:showVal val="0"/>
          <c:showCatName val="0"/>
          <c:showSerName val="0"/>
          <c:showPercent val="0"/>
          <c:showBubbleSize val="0"/>
        </c:dLbls>
        <c:gapWidth val="150"/>
        <c:overlap val="100"/>
        <c:axId val="1176685008"/>
        <c:axId val="1176685488"/>
      </c:barChart>
      <c:catAx>
        <c:axId val="1176685008"/>
        <c:scaling>
          <c:orientation val="minMax"/>
        </c:scaling>
        <c:delete val="0"/>
        <c:axPos val="b"/>
        <c:numFmt formatCode="General" sourceLinked="1"/>
        <c:majorTickMark val="out"/>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85488"/>
        <c:crosses val="autoZero"/>
        <c:auto val="1"/>
        <c:lblAlgn val="ctr"/>
        <c:lblOffset val="100"/>
        <c:noMultiLvlLbl val="0"/>
      </c:catAx>
      <c:valAx>
        <c:axId val="1176685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85008"/>
        <c:crosses val="autoZero"/>
        <c:crossBetween val="between"/>
      </c:valAx>
      <c:spPr>
        <a:noFill/>
        <a:ln>
          <a:noFill/>
        </a:ln>
        <a:effectLst/>
      </c:spPr>
    </c:plotArea>
    <c:legend>
      <c:legendPos val="l"/>
      <c:legendEntry>
        <c:idx val="0"/>
        <c:delete val="1"/>
      </c:legendEntry>
      <c:layout>
        <c:manualLayout>
          <c:xMode val="edge"/>
          <c:yMode val="edge"/>
          <c:x val="2.3041474654377881E-2"/>
          <c:y val="0.14595873015873015"/>
          <c:w val="0.3405415048925336"/>
          <c:h val="0.81895555555555544"/>
        </c:manualLayout>
      </c:layout>
      <c:overlay val="0"/>
      <c:spPr>
        <a:noFill/>
        <a:ln>
          <a:solidFill>
            <a:schemeClr val="bg1">
              <a:lumMod val="95000"/>
            </a:schemeClr>
          </a:solid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99CC"/>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784860</xdr:colOff>
      <xdr:row>41</xdr:row>
      <xdr:rowOff>7620</xdr:rowOff>
    </xdr:from>
    <xdr:to>
      <xdr:col>14</xdr:col>
      <xdr:colOff>571140</xdr:colOff>
      <xdr:row>54</xdr:row>
      <xdr:rowOff>66360</xdr:rowOff>
    </xdr:to>
    <xdr:graphicFrame macro="">
      <xdr:nvGraphicFramePr>
        <xdr:cNvPr id="7" name="Chart 6">
          <a:extLst>
            <a:ext uri="{FF2B5EF4-FFF2-40B4-BE49-F238E27FC236}">
              <a16:creationId xmlns:a16="http://schemas.microsoft.com/office/drawing/2014/main" id="{8360D3EA-188B-44C9-83E4-C6DA56A84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30480</xdr:colOff>
      <xdr:row>41</xdr:row>
      <xdr:rowOff>7620</xdr:rowOff>
    </xdr:from>
    <xdr:to>
      <xdr:col>10</xdr:col>
      <xdr:colOff>693060</xdr:colOff>
      <xdr:row>54</xdr:row>
      <xdr:rowOff>66360</xdr:rowOff>
    </xdr:to>
    <xdr:graphicFrame macro="">
      <xdr:nvGraphicFramePr>
        <xdr:cNvPr id="8" name="Chart 7">
          <a:extLst>
            <a:ext uri="{FF2B5EF4-FFF2-40B4-BE49-F238E27FC236}">
              <a16:creationId xmlns:a16="http://schemas.microsoft.com/office/drawing/2014/main" id="{26240878-28C6-4D45-A3E9-B3FF97615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B2C4C05-A4CD-4ABD-8746-A0A5C626950C}" name="TotalTaxEstimateTable" displayName="TotalTaxEstimateTable" ref="B45:C51" totalsRowCount="1" totalsRowDxfId="97">
  <autoFilter ref="B45:C50" xr:uid="{4B2C4C05-A4CD-4ABD-8746-A0A5C626950C}">
    <filterColumn colId="0" hiddenButton="1"/>
    <filterColumn colId="1" hiddenButton="1"/>
  </autoFilter>
  <tableColumns count="2">
    <tableColumn id="1" xr3:uid="{E8BD8A82-10B9-4693-8933-F7822CBC40F3}" name="Tax Type" totalsRowLabel="Total Tax Estimate:" totalsRowDxfId="96"/>
    <tableColumn id="2" xr3:uid="{C88CC6E6-2576-418A-831C-83544F32D254}" name="Amount" totalsRowFunction="custom" dataDxfId="94" totalsRowDxfId="95">
      <totalsRowFormula xml:space="preserve"> SUBTOTAL(109,TotalTaxEstimateTable[Amount])</totalsRow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78F60B-C947-43DD-937D-EC557498FA4E}" name="FilingStatusTable" displayName="FilingStatusTable" ref="B8:C12" totalsRowShown="0" headerRowDxfId="53">
  <autoFilter ref="B8:C12" xr:uid="{1878F60B-C947-43DD-937D-EC557498FA4E}"/>
  <tableColumns count="2">
    <tableColumn id="1" xr3:uid="{A25F25B3-078E-49E5-87CB-98701A2E35F1}" name="Filing Status"/>
    <tableColumn id="3" xr3:uid="{90997C3D-5015-49C7-894A-59A32A3F51E3}" name="IsSelected" dataDxfId="52">
      <calculatedColumnFormula xml:space="preserve"> (FilingStatusTable[[#This Row],[Filing Status]] = EstimateInputFilingStatusCell)</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2CD39C-EB76-453B-95AA-3330FE4842AD}" name="MedicareWageTaxRateTable" displayName="MedicareWageTaxRateTable" ref="F16:L33" totalsRowShown="0" headerRowDxfId="51">
  <autoFilter ref="F16:L33" xr:uid="{0C2CD39C-EB76-453B-95AA-3330FE4842AD}"/>
  <tableColumns count="7">
    <tableColumn id="8" xr3:uid="{8A98E453-3778-431E-936F-BA89B5D44CDD}" name="Filing Status" dataDxfId="50" dataCellStyle="Percent"/>
    <tableColumn id="5" xr3:uid="{05F95EED-AA5A-49B9-9A10-5A755DF84803}" name="Tax Year" dataDxfId="49" dataCellStyle="Percent"/>
    <tableColumn id="1" xr3:uid="{DD22D3C3-B777-4743-89CB-D8FB400651AD}" name="Medicare Rate"/>
    <tableColumn id="2" xr3:uid="{0F69A6C4-532B-44B4-9826-6BFF9AA018F8}" name="RangeStart" dataDxfId="48" dataCellStyle="Currency"/>
    <tableColumn id="3" xr3:uid="{88741EC0-296E-4C58-93CC-0C6D00870140}" name="RangeEnd" dataDxfId="47" dataCellStyle="Currency"/>
    <tableColumn id="6" xr3:uid="{BF0ADDB6-1F17-49CD-8DC4-CBF335C17E0D}" name="SumLowerRanges" dataDxfId="46"/>
    <tableColumn id="7" xr3:uid="{472ABD8D-C6D8-433F-A639-64DEC286121D}" name="IsSelected" dataDxfId="45">
      <calculatedColumnFormula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ED18DA-4131-4B9C-8829-C18B5219A750}" name="SupportedYearsTable" displayName="SupportedYearsTable" ref="B18:C20" totalsRowShown="0" headerRowDxfId="44">
  <autoFilter ref="B18:C20" xr:uid="{67ED18DA-4131-4B9C-8829-C18B5219A750}"/>
  <tableColumns count="2">
    <tableColumn id="1" xr3:uid="{DD6CF09B-15E9-4AED-92BB-C88FFC6BC4EA}" name="Tax Year"/>
    <tableColumn id="2" xr3:uid="{FBAFDEBB-C52E-453F-977A-EC6C7B8F2087}" name="IsSelected" dataDxfId="43">
      <calculatedColumnFormula xml:space="preserve"> (SupportedYearsTable[[#This Row],[Tax Year]] = EstimateInputTaxYearCell)</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DF536C-BE11-4DE7-848E-D86C87D28E45}" name="SocialSecurityTaxRateTable" displayName="SocialSecurityTaxRateTable" ref="F54:K63" totalsRowShown="0" headerRowDxfId="42">
  <autoFilter ref="F54:K63" xr:uid="{21DF536C-BE11-4DE7-848E-D86C87D28E45}"/>
  <tableColumns count="6">
    <tableColumn id="8" xr3:uid="{AD5D3799-5612-40EB-960C-AFCD3AB911F6}" name="Status LabelId" dataDxfId="41" dataCellStyle="Percent"/>
    <tableColumn id="5" xr3:uid="{5E4BFFA1-383C-4359-A038-38BEDB2E3159}" name="Tax Year" dataDxfId="40" dataCellStyle="Percent"/>
    <tableColumn id="1" xr3:uid="{E929603B-3753-4270-A848-68F817E5E267}" name="SocialSecurity Rate"/>
    <tableColumn id="3" xr3:uid="{D8229FEF-19C9-4DA2-BD3A-AD2F29BB3812}" name="Max Taxable Income" dataDxfId="39" dataCellStyle="Currency"/>
    <tableColumn id="6" xr3:uid="{9756E1F3-C562-4239-ABF6-3DE784AF36E0}" name="SumLowerRanges" dataDxfId="38"/>
    <tableColumn id="7" xr3:uid="{9BD19BCB-51F0-4D4E-BBC8-8EDF4E7735AE}" name="IsSelected" dataDxfId="37">
      <calculatedColumnFormula xml:space="preserve"> AND(
    (SocialSecurityTaxRateTable[[#This Row],[Tax Year]] = EstimateInputTaxYearCell),
    (SocialSecurityTaxRateTable[[#This Row],[Status LabelId]] = EstimateInputFilingStatusCell)
)</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EDE1AB8-78A0-46D6-9C99-57446D5FA60B}" name="MedicareNetInvestIncomeTaxTable" displayName="MedicareNetInvestIncomeTaxTable" ref="F39:J48" totalsRowShown="0">
  <autoFilter ref="F39:J48" xr:uid="{EEDE1AB8-78A0-46D6-9C99-57446D5FA60B}"/>
  <tableColumns count="5">
    <tableColumn id="1" xr3:uid="{3D906847-C052-4468-B4EC-2B1B0FD7344F}" name="Status LabelId" dataDxfId="36" dataCellStyle="Percent"/>
    <tableColumn id="2" xr3:uid="{C55CA524-4D6B-42AD-B2E8-10294F63EED0}" name="Tax Year" dataDxfId="35" dataCellStyle="Percent"/>
    <tableColumn id="3" xr3:uid="{AC64BB0C-7E64-4A8A-B469-46897482D40C}" name="NetInvestInc Rate" dataDxfId="34" dataCellStyle="Percent"/>
    <tableColumn id="4" xr3:uid="{17B91C93-8719-404C-9EFA-A77FA36D7F11}" name="Modified AGI Threshold" dataDxfId="33" dataCellStyle="Currency"/>
    <tableColumn id="5" xr3:uid="{E125096B-57E0-4DD8-90DD-18B3E868E56D}" name="IsSelected" dataDxfId="32">
      <calculatedColumnFormula xml:space="preserve"> AND(
    (MedicareNetInvestIncomeTaxTable[[#This Row],[Tax Year]] = EstimateInputTaxYearCell),
    (MedicareNetInvestIncomeTaxTable[[#This Row],[Status LabelId]] = EstimateInputFilingStatusCell)
)</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00D7F2C-722B-489E-8A17-9596B4CDFC18}" name="StandardDeductionAmountTable" displayName="StandardDeductionAmountTable" ref="F69:I78" totalsRowShown="0" headerRowDxfId="31">
  <autoFilter ref="F69:I78" xr:uid="{900D7F2C-722B-489E-8A17-9596B4CDFC18}"/>
  <tableColumns count="4">
    <tableColumn id="8" xr3:uid="{F076BA23-C676-4EF7-8D5A-728099A18FDA}" name="Status LabelId" dataDxfId="30" dataCellStyle="Percent"/>
    <tableColumn id="5" xr3:uid="{48EB948A-8AC1-44E1-AA7A-93E040F3EEC3}" name="Tax Year" dataDxfId="29" dataCellStyle="Percent"/>
    <tableColumn id="3" xr3:uid="{904603F6-A14D-484D-A547-A161F24DD894}" name="Standard _x000a_Deduction Amount" dataDxfId="28" dataCellStyle="Currency"/>
    <tableColumn id="7" xr3:uid="{8648642A-D722-4F7E-8193-8A7158E8C571}" name="IsSelected" dataDxfId="27">
      <calculatedColumnFormula xml:space="preserve"> AND(
    (StandardDeductionAmountTable[[#This Row],[Tax Year]] = EstimateInputTaxYearCell),
    (StandardDeductionAmountTable[[#This Row],[Status LabelId]] = EstimateInputFilingStatusCell)
)</calculatedColumnFormula>
    </tableColum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C477A3D-A6AA-4A14-BC17-0D4C4D76ABA7}" name="FederalIncomeTaxRateTable" displayName="FederalIncomeTaxRateTable" ref="F84:L141" totalsRowShown="0" headerRowDxfId="26">
  <autoFilter ref="F84:L141" xr:uid="{DC477A3D-A6AA-4A14-BC17-0D4C4D76ABA7}"/>
  <tableColumns count="7">
    <tableColumn id="8" xr3:uid="{A7BF99FD-7FA4-41DB-AC13-4BE54CF8ED80}" name="Status LabelId" dataDxfId="25" dataCellStyle="Percent"/>
    <tableColumn id="5" xr3:uid="{74A2EA3E-9DA7-42DB-BCAC-CB67D6ADEEBD}" name="Tax Year" dataDxfId="24" dataCellStyle="Percent"/>
    <tableColumn id="1" xr3:uid="{9C2EA428-808E-4221-9A9F-5F0CDAA0A8F0}" name="Federal Tax Rate"/>
    <tableColumn id="2" xr3:uid="{0BD12810-181B-4872-B4E9-605679BC5CD2}" name="RangeStart" dataDxfId="23" dataCellStyle="Currency"/>
    <tableColumn id="3" xr3:uid="{FDA81F84-6C77-4D00-9F24-12C3FD4AA757}" name="RangeEnd" dataDxfId="22" dataCellStyle="Currency"/>
    <tableColumn id="6" xr3:uid="{7CBF0FBD-DEB9-4A3C-9BC8-EBE9A6D0A975}" name="SumLowerRanges" dataDxfId="21"/>
    <tableColumn id="7" xr3:uid="{9699F651-6E5A-490A-AD3D-A613F360EAAD}" name="IsSelected" dataDxfId="20">
      <calculatedColumnFormula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calculatedColumnFormula>
    </tableColumn>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7186188-2370-4E1A-B04F-E7FDF05D3A34}" name="AlternativeMimumumTaxThresholdsTable" displayName="AlternativeMimumumTaxThresholdsTable" ref="F147:J156" totalsRowShown="0">
  <autoFilter ref="F147:J156" xr:uid="{47186188-2370-4E1A-B04F-E7FDF05D3A34}"/>
  <tableColumns count="5">
    <tableColumn id="1" xr3:uid="{2016040D-EABF-4CD7-A6B2-369B15D99C9D}" name="Status LabelId" dataDxfId="19" dataCellStyle="Percent"/>
    <tableColumn id="2" xr3:uid="{03246E6D-25A9-4C0B-8A16-5CACC12F31B8}" name="Tax Year" dataDxfId="18" dataCellStyle="Percent"/>
    <tableColumn id="3" xr3:uid="{657A0BDA-F5DF-455A-A7BA-B1BFCAD37C07}" name="AMT Exemption" dataDxfId="17" dataCellStyle="Percent"/>
    <tableColumn id="4" xr3:uid="{EAF3E9AD-E488-4B03-B379-94C0984BC74C}" name="Phaseout Threshold" dataDxfId="16" dataCellStyle="Currency"/>
    <tableColumn id="5" xr3:uid="{0EC6FDAF-1D58-44BA-B3EC-7E2DF69C7939}" name="IsSelected" dataDxfId="15">
      <calculatedColumnFormula xml:space="preserve"> AND(
    (AlternativeMimumumTaxThresholdsTable[[#This Row],[Tax Year]] = EstimateInputTaxYearCell),
    (AlternativeMimumumTaxThresholdsTable[[#This Row],[Status LabelId]] = EstimateInputFilingStatusCell)
)</calculatedColumnFormula>
    </tableColum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E62CEEA-D220-41E3-92E9-3867D62F7529}" name="AlternativeMinimumTaxRateTable" displayName="AlternativeMinimumTaxRateTable" ref="F162:L179" totalsRowShown="0" headerRowDxfId="14">
  <autoFilter ref="F162:L179" xr:uid="{9E62CEEA-D220-41E3-92E9-3867D62F7529}"/>
  <tableColumns count="7">
    <tableColumn id="8" xr3:uid="{A800F939-77F1-44AE-BFE8-E011BCEC37F6}" name="Status LabelId" dataDxfId="13" dataCellStyle="Percent"/>
    <tableColumn id="5" xr3:uid="{B08E48AD-06C2-47F1-88E2-FA76D6E3BBF0}" name="Tax Year" dataDxfId="12" dataCellStyle="Percent"/>
    <tableColumn id="1" xr3:uid="{E30A5978-1046-4461-A787-A5742FDED3AE}" name="AMT Rate"/>
    <tableColumn id="2" xr3:uid="{9761E1E9-15E2-4336-A26B-850F68848F5E}" name="RangeStart" dataDxfId="11" dataCellStyle="Currency"/>
    <tableColumn id="3" xr3:uid="{12DBF1AB-2AE6-4BBA-8B95-BEE9EC09003D}" name="RangeEnd" dataDxfId="10" dataCellStyle="Currency"/>
    <tableColumn id="6" xr3:uid="{6AF342CB-86CB-4F68-A508-0FAC77D3E24E}" name="SumLowerRanges" dataDxfId="9"/>
    <tableColumn id="7" xr3:uid="{42ACC4F0-41F2-45C3-B1D5-BBC5A590B3DD}" name="IsSelected" dataDxfId="8">
      <calculatedColumnFormula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calculatedColumnFormula>
    </tableColumn>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C93E099-9465-49FE-9AEE-0EF3D993BF29}" name="LongTermCapitalGainsTaxRateTable" displayName="LongTermCapitalGainsTaxRateTable" ref="F185:M210" totalsRowShown="0" headerRowDxfId="7">
  <autoFilter ref="F185:M210" xr:uid="{4C93E099-9465-49FE-9AEE-0EF3D993BF29}"/>
  <tableColumns count="8">
    <tableColumn id="8" xr3:uid="{DEBAED59-1B6B-4C70-AE7D-2D5551B2E829}" name="Status LabelId" dataDxfId="6" dataCellStyle="Percent"/>
    <tableColumn id="5" xr3:uid="{955CF89F-20A8-47A3-89A1-C34870A5FCB4}" name="Tax Year" dataDxfId="5" dataCellStyle="Percent"/>
    <tableColumn id="1" xr3:uid="{73191AAD-16E7-4327-B394-088B48317081}" name="LTCG Rate"/>
    <tableColumn id="2" xr3:uid="{E1506880-D2AA-44CF-B909-8E489A1810DF}" name="RangeStart" dataDxfId="4" dataCellStyle="Currency"/>
    <tableColumn id="3" xr3:uid="{44EF5A89-256D-4283-BB4A-645C1F0E66AB}" name="RangeEnd" dataDxfId="3" dataCellStyle="Currency"/>
    <tableColumn id="6" xr3:uid="{9BD11CF5-5335-4896-82F1-5A1E79A53F6A}" name="SumLowerRanges" dataDxfId="2"/>
    <tableColumn id="7" xr3:uid="{F5E66BFA-83E4-4E26-98C5-C3A24FDF83D0}" name="IsBracketStart" dataDxfId="1">
      <calculatedColumnFormula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calculatedColumnFormula>
    </tableColumn>
    <tableColumn id="4" xr3:uid="{B5B2FB37-DDBF-47EA-A3D1-4F9356168066}" name="IsBracketEnd" dataDxfId="0">
      <calculatedColumnFormula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macrogreg/Combined-Income-Tax-Estimator"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05775-5D08-4EA7-A2E6-803BF37BCEA6}">
  <dimension ref="B3:B17"/>
  <sheetViews>
    <sheetView tabSelected="1" workbookViewId="0">
      <selection activeCell="B2" sqref="B2"/>
    </sheetView>
  </sheetViews>
  <sheetFormatPr defaultRowHeight="14.45"/>
  <cols>
    <col min="2" max="2" width="89.28515625" style="77" customWidth="1"/>
  </cols>
  <sheetData>
    <row r="3" spans="2:2" ht="18" thickBot="1">
      <c r="B3" s="75" t="s">
        <v>0</v>
      </c>
    </row>
    <row r="4" spans="2:2" ht="217.5" customHeight="1" thickTop="1">
      <c r="B4" s="80" t="s">
        <v>1</v>
      </c>
    </row>
    <row r="6" spans="2:2" ht="18" thickBot="1">
      <c r="B6" s="75" t="s">
        <v>2</v>
      </c>
    </row>
    <row r="7" spans="2:2" ht="269.25" customHeight="1" thickTop="1">
      <c r="B7" s="81" t="s">
        <v>3</v>
      </c>
    </row>
    <row r="8" spans="2:2" ht="15">
      <c r="B8" s="82" t="s">
        <v>4</v>
      </c>
    </row>
    <row r="9" spans="2:2" ht="15">
      <c r="B9" s="83" t="s">
        <v>5</v>
      </c>
    </row>
    <row r="11" spans="2:2" ht="15" thickBot="1">
      <c r="B11" s="78" t="s">
        <v>6</v>
      </c>
    </row>
    <row r="12" spans="2:2" ht="101.25" customHeight="1">
      <c r="B12" s="76" t="s">
        <v>7</v>
      </c>
    </row>
    <row r="15" spans="2:2" ht="15" thickBot="1">
      <c r="B15" s="78" t="s">
        <v>8</v>
      </c>
    </row>
    <row r="16" spans="2:2" ht="81.75" customHeight="1">
      <c r="B16" s="76" t="s">
        <v>9</v>
      </c>
    </row>
    <row r="17" ht="15"/>
  </sheetData>
  <hyperlinks>
    <hyperlink ref="B9" r:id="rId1" xr:uid="{AF5B704B-2169-4D38-B0A1-DEA64895045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C6EDB-238C-426D-8833-759D995A4981}">
  <dimension ref="B2:L123"/>
  <sheetViews>
    <sheetView workbookViewId="0">
      <selection activeCell="B4" sqref="B4"/>
    </sheetView>
  </sheetViews>
  <sheetFormatPr defaultRowHeight="14.45"/>
  <cols>
    <col min="2" max="2" width="36.7109375" customWidth="1"/>
    <col min="3" max="3" width="17.85546875" customWidth="1"/>
    <col min="4" max="5" width="10.42578125" customWidth="1"/>
    <col min="6" max="6" width="41.28515625" customWidth="1"/>
    <col min="7" max="7" width="17.42578125" bestFit="1" customWidth="1"/>
    <col min="8" max="9" width="10.42578125" customWidth="1"/>
    <col min="10" max="10" width="32.28515625" customWidth="1"/>
    <col min="11" max="11" width="15.28515625" customWidth="1"/>
    <col min="12" max="13" width="10.42578125" customWidth="1"/>
  </cols>
  <sheetData>
    <row r="2" spans="2:12" s="30" customFormat="1" ht="15.6">
      <c r="B2" s="23" t="s">
        <v>10</v>
      </c>
      <c r="C2"/>
      <c r="F2" s="65" t="s">
        <v>11</v>
      </c>
      <c r="G2"/>
    </row>
    <row r="3" spans="2:12" s="30" customFormat="1" ht="15.6">
      <c r="B3" s="23" t="s">
        <v>12</v>
      </c>
      <c r="C3"/>
      <c r="F3" s="64" t="s">
        <v>13</v>
      </c>
      <c r="G3"/>
    </row>
    <row r="5" spans="2:12" ht="18" thickBot="1">
      <c r="B5" s="15" t="s">
        <v>14</v>
      </c>
      <c r="C5" s="15"/>
      <c r="D5" s="15"/>
      <c r="E5" s="15"/>
      <c r="F5" s="15"/>
      <c r="G5" s="15"/>
      <c r="H5" s="15"/>
      <c r="I5" s="15"/>
      <c r="J5" s="15"/>
      <c r="K5" s="15"/>
    </row>
    <row r="6" spans="2:12" ht="15" thickTop="1">
      <c r="B6" s="84" t="s">
        <v>15</v>
      </c>
      <c r="C6" s="84"/>
    </row>
    <row r="7" spans="2:12">
      <c r="B7" s="67"/>
    </row>
    <row r="8" spans="2:12">
      <c r="B8" s="3" t="s">
        <v>16</v>
      </c>
      <c r="C8" s="8">
        <v>2025</v>
      </c>
      <c r="F8" s="3" t="s">
        <v>17</v>
      </c>
      <c r="G8" s="8" t="s">
        <v>18</v>
      </c>
    </row>
    <row r="9" spans="2:12">
      <c r="B9" s="3"/>
      <c r="F9" s="19"/>
      <c r="G9" s="20"/>
    </row>
    <row r="10" spans="2:12" ht="15" thickBot="1">
      <c r="B10" s="37" t="s">
        <v>19</v>
      </c>
      <c r="C10" s="37"/>
      <c r="D10" s="12"/>
      <c r="F10" s="37" t="s">
        <v>20</v>
      </c>
      <c r="G10" s="37"/>
      <c r="J10" s="37" t="s">
        <v>21</v>
      </c>
      <c r="K10" s="37"/>
    </row>
    <row r="11" spans="2:12">
      <c r="B11" s="26" t="s">
        <v>22</v>
      </c>
      <c r="D11" s="12"/>
      <c r="F11" s="26" t="s">
        <v>23</v>
      </c>
      <c r="J11" s="26" t="s">
        <v>24</v>
      </c>
    </row>
    <row r="13" spans="2:12">
      <c r="B13" t="s">
        <v>25</v>
      </c>
      <c r="C13" s="9">
        <v>80000</v>
      </c>
      <c r="F13" t="s">
        <v>26</v>
      </c>
      <c r="G13" s="9">
        <v>5000</v>
      </c>
      <c r="J13" s="46" t="s">
        <v>27</v>
      </c>
      <c r="K13" s="42"/>
    </row>
    <row r="14" spans="2:12">
      <c r="B14" t="s">
        <v>28</v>
      </c>
      <c r="C14" s="9">
        <v>0</v>
      </c>
      <c r="F14" t="s">
        <v>29</v>
      </c>
      <c r="G14" s="9">
        <v>0</v>
      </c>
      <c r="J14" t="s">
        <v>30</v>
      </c>
      <c r="K14" s="2">
        <f>_xlfn.XLOOKUP(TRUE, StandardDeductionAmountTable[IsSelected], StandardDeductionAmountTable[Standard 
Deduction Amount], NotFoundLabelCell)</f>
        <v>15000</v>
      </c>
    </row>
    <row r="15" spans="2:12" ht="15" thickBot="1">
      <c r="B15" s="10" t="s">
        <v>31</v>
      </c>
      <c r="C15" s="11">
        <v>0</v>
      </c>
      <c r="F15" s="10" t="s">
        <v>32</v>
      </c>
      <c r="G15" s="11">
        <v>0</v>
      </c>
      <c r="J15" s="10" t="s">
        <v>33</v>
      </c>
      <c r="K15" s="11">
        <v>0</v>
      </c>
      <c r="L15" s="43" t="s">
        <v>34</v>
      </c>
    </row>
    <row r="16" spans="2:12">
      <c r="B16" s="3" t="s">
        <v>35</v>
      </c>
      <c r="C16" s="4">
        <f>SUM(C13:C15)</f>
        <v>80000</v>
      </c>
      <c r="D16" s="43" t="str">
        <f xml:space="preserve"> IF(
    AND(0 &lt;= C16, C16 &lt;= MaxIncomeCell),
    InRangeLabelCell,
    OutOfRangeLabelCell
)</f>
        <v>✔</v>
      </c>
      <c r="F16" s="3" t="s">
        <v>36</v>
      </c>
      <c r="G16" s="4">
        <f>SUM(G13:G15)</f>
        <v>5000</v>
      </c>
      <c r="H16" s="43" t="str">
        <f xml:space="preserve"> IF(
    AND(0 &lt;= G16, G16 &lt;= MaxIncomeCell),
    InRangeLabelCell,
    OutOfRangeLabelCell
)</f>
        <v>✔</v>
      </c>
      <c r="J16" s="3" t="s">
        <v>37</v>
      </c>
      <c r="K16" s="4">
        <f xml:space="preserve"> MAX(K14:K15)</f>
        <v>15000</v>
      </c>
    </row>
    <row r="17" spans="2:12">
      <c r="B17" s="19"/>
      <c r="C17" s="20"/>
    </row>
    <row r="18" spans="2:12">
      <c r="B18" s="19"/>
      <c r="C18" s="20"/>
    </row>
    <row r="19" spans="2:12" ht="15" thickBot="1">
      <c r="B19" s="37" t="s">
        <v>38</v>
      </c>
      <c r="C19" s="37"/>
      <c r="F19" s="37" t="s">
        <v>39</v>
      </c>
      <c r="G19" s="37"/>
      <c r="J19" s="37" t="s">
        <v>40</v>
      </c>
      <c r="K19" s="37"/>
    </row>
    <row r="20" spans="2:12">
      <c r="B20" s="26" t="s">
        <v>41</v>
      </c>
      <c r="F20" s="26" t="s">
        <v>42</v>
      </c>
      <c r="J20" s="26" t="s">
        <v>43</v>
      </c>
    </row>
    <row r="21" spans="2:12">
      <c r="B21" s="19"/>
      <c r="C21" s="20"/>
    </row>
    <row r="22" spans="2:12">
      <c r="B22" t="s">
        <v>44</v>
      </c>
      <c r="C22" s="9">
        <v>10000</v>
      </c>
      <c r="F22" t="s">
        <v>45</v>
      </c>
      <c r="G22" s="9">
        <v>5000</v>
      </c>
      <c r="J22" t="s">
        <v>46</v>
      </c>
      <c r="K22" s="9">
        <v>2000</v>
      </c>
    </row>
    <row r="23" spans="2:12">
      <c r="B23" t="s">
        <v>47</v>
      </c>
      <c r="C23" s="9">
        <v>0</v>
      </c>
      <c r="F23" t="s">
        <v>48</v>
      </c>
      <c r="G23" s="9">
        <v>0</v>
      </c>
      <c r="J23" t="s">
        <v>49</v>
      </c>
      <c r="K23" s="9">
        <v>0</v>
      </c>
    </row>
    <row r="24" spans="2:12" ht="15" thickBot="1">
      <c r="B24" s="10" t="s">
        <v>50</v>
      </c>
      <c r="C24" s="11">
        <v>0</v>
      </c>
      <c r="F24" s="10" t="s">
        <v>51</v>
      </c>
      <c r="G24" s="11">
        <v>0</v>
      </c>
      <c r="J24" s="10" t="s">
        <v>52</v>
      </c>
      <c r="K24" s="11">
        <v>0</v>
      </c>
    </row>
    <row r="25" spans="2:12">
      <c r="B25" s="3" t="s">
        <v>53</v>
      </c>
      <c r="C25" s="4">
        <f>SUM(C22:C24)</f>
        <v>10000</v>
      </c>
      <c r="D25" s="43" t="str">
        <f xml:space="preserve"> IF(
    AND(0 &lt;= C25, C25 &lt;= MaxIncomeCell),
    InRangeLabelCell,
    OutOfRangeLabelCell
)</f>
        <v>✔</v>
      </c>
      <c r="F25" s="3" t="s">
        <v>54</v>
      </c>
      <c r="G25" s="4">
        <f>SUM(G22:G24)</f>
        <v>5000</v>
      </c>
      <c r="H25" s="43" t="str">
        <f xml:space="preserve"> IF(
    AND(0 &lt;= G25, G25 &lt;= MaxIncomeCell),
    InRangeLabelCell,
    OutOfRangeLabelCell
)</f>
        <v>✔</v>
      </c>
      <c r="J25" s="3" t="s">
        <v>55</v>
      </c>
      <c r="K25" s="4">
        <f>SUM(K22:K24)</f>
        <v>2000</v>
      </c>
      <c r="L25" s="43" t="str">
        <f xml:space="preserve"> IF(
    AND(0 &lt;= K25, K25 &lt;= MaxIncomeCell),
    InRangeLabelCell,
    OutOfRangeLabelCell
)</f>
        <v>✔</v>
      </c>
    </row>
    <row r="26" spans="2:12">
      <c r="B26" s="38"/>
      <c r="C26" s="38"/>
      <c r="F26" s="38"/>
      <c r="G26" s="38"/>
      <c r="J26" s="38"/>
      <c r="K26" s="38"/>
    </row>
    <row r="27" spans="2:12">
      <c r="B27" s="38"/>
      <c r="C27" s="38"/>
      <c r="F27" s="38"/>
      <c r="G27" s="38"/>
      <c r="J27" s="38"/>
      <c r="K27" s="38"/>
    </row>
    <row r="28" spans="2:12" ht="18" thickBot="1">
      <c r="B28" s="39" t="s">
        <v>56</v>
      </c>
      <c r="C28" s="39"/>
      <c r="D28" s="40"/>
      <c r="E28" s="40"/>
      <c r="F28" s="39"/>
      <c r="G28" s="39"/>
      <c r="H28" s="40"/>
      <c r="I28" s="40"/>
      <c r="J28" s="39"/>
      <c r="K28" s="39"/>
    </row>
    <row r="29" spans="2:12" ht="15" thickTop="1">
      <c r="B29" s="84" t="s">
        <v>57</v>
      </c>
      <c r="C29" s="84"/>
    </row>
    <row r="30" spans="2:12">
      <c r="B30" s="38"/>
      <c r="C30" s="38"/>
    </row>
    <row r="31" spans="2:12" ht="15" thickBot="1">
      <c r="B31" s="37" t="s">
        <v>58</v>
      </c>
      <c r="C31" s="37"/>
      <c r="F31" s="37" t="s">
        <v>59</v>
      </c>
      <c r="G31" s="41"/>
    </row>
    <row r="33" spans="2:11">
      <c r="B33" t="str">
        <f>$B$16</f>
        <v>Total Gross Wages:</v>
      </c>
      <c r="C33" s="2">
        <f xml:space="preserve"> $C$16</f>
        <v>80000</v>
      </c>
      <c r="D33" s="66" t="str">
        <f ca="1">_xlfn.LET(
    _xlpm.FormulaText, _xlfn.FORMULATEXT(C33),
    HYPERLINK(
        "#" &amp; SUBSTITUTE(_xlpm.FormulaText, "=", ""),
        _xlpm.FormulaText
    )
)</f>
        <v>= $C$16</v>
      </c>
      <c r="F33" t="str">
        <f>$B$16</f>
        <v>Total Gross Wages:</v>
      </c>
      <c r="G33" s="2">
        <f xml:space="preserve"> $C$16</f>
        <v>80000</v>
      </c>
      <c r="H33" s="66" t="str">
        <f ca="1">_xlfn.LET(
    _xlpm.FormulaText, _xlfn.FORMULATEXT(G33),
    HYPERLINK(
        "#" &amp; SUBSTITUTE(_xlpm.FormulaText, "=", ""),
        _xlpm.FormulaText
    )
)</f>
        <v>= $C$16</v>
      </c>
    </row>
    <row r="34" spans="2:11">
      <c r="B34" t="str">
        <f>$B$25</f>
        <v>Total Rental &amp; similar Income:</v>
      </c>
      <c r="C34" s="2">
        <f xml:space="preserve"> $C$25</f>
        <v>10000</v>
      </c>
      <c r="D34" s="66" t="str">
        <f t="shared" ref="D34:D36" ca="1" si="0">_xlfn.LET(
    _xlpm.FormulaText, _xlfn.FORMULATEXT(C34),
    HYPERLINK(
        "#" &amp; SUBSTITUTE(_xlpm.FormulaText, "=", ""),
        _xlpm.FormulaText
    )
)</f>
        <v>= $C$25</v>
      </c>
      <c r="F34" t="str">
        <f>$B$25</f>
        <v>Total Rental &amp; similar Income:</v>
      </c>
      <c r="G34" s="2">
        <f xml:space="preserve"> $C$25</f>
        <v>10000</v>
      </c>
      <c r="H34" s="66" t="str">
        <f t="shared" ref="H34:H36" ca="1" si="1">_xlfn.LET(
    _xlpm.FormulaText, _xlfn.FORMULATEXT(G34),
    HYPERLINK(
        "#" &amp; SUBSTITUTE(_xlpm.FormulaText, "=", ""),
        _xlpm.FormulaText
    )
)</f>
        <v>= $C$25</v>
      </c>
    </row>
    <row r="35" spans="2:11">
      <c r="B35" t="str">
        <f>$F$25</f>
        <v>Total Long-term Capital Gains:</v>
      </c>
      <c r="C35" s="2">
        <f xml:space="preserve"> $G$25</f>
        <v>5000</v>
      </c>
      <c r="D35" s="66" t="str">
        <f t="shared" ca="1" si="0"/>
        <v>= $G$25</v>
      </c>
      <c r="F35" t="str">
        <f>$F$25</f>
        <v>Total Long-term Capital Gains:</v>
      </c>
      <c r="G35" s="2">
        <f xml:space="preserve"> $G$25</f>
        <v>5000</v>
      </c>
      <c r="H35" s="66" t="str">
        <f t="shared" ca="1" si="1"/>
        <v>= $G$25</v>
      </c>
    </row>
    <row r="36" spans="2:11" ht="15" thickBot="1">
      <c r="B36" s="10" t="str">
        <f>$J$25</f>
        <v>Total Short-term Capital Gains:</v>
      </c>
      <c r="C36" s="25">
        <f xml:space="preserve"> $K$25</f>
        <v>2000</v>
      </c>
      <c r="D36" s="66" t="str">
        <f t="shared" ca="1" si="0"/>
        <v>= $K$25</v>
      </c>
      <c r="F36" t="str">
        <f>$J$25</f>
        <v>Total Short-term Capital Gains:</v>
      </c>
      <c r="G36" s="2">
        <f xml:space="preserve"> $K$25</f>
        <v>2000</v>
      </c>
      <c r="H36" s="66" t="str">
        <f t="shared" ca="1" si="1"/>
        <v>= $K$25</v>
      </c>
    </row>
    <row r="37" spans="2:11" ht="15" thickBot="1">
      <c r="B37" s="3" t="s">
        <v>60</v>
      </c>
      <c r="C37" s="4">
        <f xml:space="preserve"> SUM(C33:C36)</f>
        <v>97000</v>
      </c>
      <c r="D37" s="43" t="str">
        <f xml:space="preserve"> IF(
    AND(0 &lt;= C37, C37 &lt;= MaxIncomeCell),
    InRangeLabelCell,
    OutOfRangeLabelCell
)</f>
        <v>✔</v>
      </c>
      <c r="F37" s="10" t="str">
        <f>$F$16</f>
        <v>Total AGI above-the-line Deductions:</v>
      </c>
      <c r="G37" s="25">
        <f xml:space="preserve"> - $G$16</f>
        <v>-5000</v>
      </c>
      <c r="H37" s="66" t="str">
        <f ca="1">_xlfn.LET(
    _xlpm.FormulaText, _xlfn.FORMULATEXT(G37),
    HYPERLINK(
        "#" &amp; SUBSTITUTE(SUBSTITUTE(_xlpm.FormulaText, "-", ""), "=", ""),
        _xlpm.FormulaText
    )
)</f>
        <v>= - $G$16</v>
      </c>
    </row>
    <row r="38" spans="2:11">
      <c r="F38" s="3" t="s">
        <v>61</v>
      </c>
      <c r="G38" s="4">
        <f>SUM(G33:G37)</f>
        <v>92000</v>
      </c>
      <c r="H38" s="43" t="str">
        <f xml:space="preserve"> IF(
    AND(0 &lt;= G38, G38 &lt;= MaxIncomeCell),
    InRangeLabelCell,
    OutOfRangeLabelCell
)</f>
        <v>✔</v>
      </c>
    </row>
    <row r="39" spans="2:11">
      <c r="G39" s="2"/>
      <c r="H39" s="38"/>
    </row>
    <row r="40" spans="2:11" ht="18" thickBot="1">
      <c r="B40" s="39" t="s">
        <v>62</v>
      </c>
      <c r="C40" s="39"/>
      <c r="D40" s="40"/>
      <c r="E40" s="40"/>
      <c r="F40" s="39"/>
      <c r="G40" s="39"/>
      <c r="H40" s="40"/>
      <c r="I40" s="40"/>
      <c r="J40" s="39"/>
      <c r="K40" s="39"/>
    </row>
    <row r="41" spans="2:11" ht="15" thickTop="1">
      <c r="B41" s="84" t="s">
        <v>63</v>
      </c>
      <c r="C41" s="84"/>
    </row>
    <row r="43" spans="2:11" ht="15" thickBot="1">
      <c r="B43" s="37" t="s">
        <v>64</v>
      </c>
      <c r="C43" s="37"/>
      <c r="F43" s="37" t="s">
        <v>65</v>
      </c>
      <c r="G43" s="37"/>
    </row>
    <row r="44" spans="2:11" ht="15" thickBot="1">
      <c r="F44" s="47"/>
      <c r="G44" s="47"/>
    </row>
    <row r="45" spans="2:11">
      <c r="B45" t="s">
        <v>66</v>
      </c>
      <c r="C45" s="2" t="s">
        <v>67</v>
      </c>
      <c r="F45" s="48" t="str">
        <f xml:space="preserve"> $B$37</f>
        <v>Total Gross Income:</v>
      </c>
      <c r="G45" s="71">
        <f xml:space="preserve"> $C$37</f>
        <v>97000</v>
      </c>
      <c r="H45" s="66" t="str">
        <f ca="1">_xlfn.LET(
    _xlpm.FormulaText, _xlfn.FORMULATEXT(G45),
    HYPERLINK(
        "#" &amp; SUBSTITUTE(_xlpm.FormulaText, "=", ""),
        _xlpm.FormulaText
    )
)</f>
        <v>= $C$37</v>
      </c>
      <c r="K45" s="2"/>
    </row>
    <row r="46" spans="2:11">
      <c r="B46" t="str">
        <f>$J$73</f>
        <v>Effective Federal Income Tax</v>
      </c>
      <c r="C46" s="2">
        <f xml:space="preserve"> $K$78</f>
        <v>10754</v>
      </c>
      <c r="D46" s="66" t="str">
        <f ca="1">_xlfn.LET(
    _xlpm.FormulaText, _xlfn.FORMULATEXT(C46),
    HYPERLINK(
        "#" &amp; SUBSTITUTE(_xlpm.FormulaText, "=", ""),
        _xlpm.FormulaText
    )
)</f>
        <v>= $K$78</v>
      </c>
      <c r="F46" s="49" t="str">
        <f xml:space="preserve"> TotalTaxEstimateTable[[#Totals],[Tax Type]]</f>
        <v>Total Tax Estimate:</v>
      </c>
      <c r="G46" s="72">
        <f>TotalTaxEstimateTable[[#Totals],[Amount]]</f>
        <v>17624</v>
      </c>
      <c r="H46" s="66"/>
      <c r="K46" s="2"/>
    </row>
    <row r="47" spans="2:11">
      <c r="B47" t="str">
        <f>B103</f>
        <v>Long Term Capital Gain Tax (LTCG)</v>
      </c>
      <c r="C47" s="2">
        <f xml:space="preserve"> $C$121</f>
        <v>750</v>
      </c>
      <c r="D47" s="66" t="str">
        <f ca="1">_xlfn.LET(
    _xlpm.FormulaText, _xlfn.FORMULATEXT(C47),
    HYPERLINK(
        "#" &amp; SUBSTITUTE(_xlpm.FormulaText, "=", ""),
        _xlpm.FormulaText
    )
)</f>
        <v>= $C$121</v>
      </c>
      <c r="F47" s="70" t="s">
        <v>68</v>
      </c>
      <c r="G47" s="73">
        <f xml:space="preserve"> G46 / G45</f>
        <v>0.18169072164948455</v>
      </c>
      <c r="H47" s="66" t="str">
        <f ca="1">_xlfn.LET(
    _xlpm.FormulaText, _xlfn.FORMULATEXT(G47),
    _xlpm.FormulaText
)</f>
        <v>= G46 / G45</v>
      </c>
      <c r="K47" s="2"/>
    </row>
    <row r="48" spans="2:11" ht="16.149999999999999" thickBot="1">
      <c r="B48" t="str">
        <f>$J$57</f>
        <v>Social Security Tax</v>
      </c>
      <c r="C48" s="2">
        <f xml:space="preserve"> $K$64</f>
        <v>4960</v>
      </c>
      <c r="D48" s="66" t="str">
        <f ca="1">_xlfn.LET(
    _xlpm.FormulaText, _xlfn.FORMULATEXT(C48),
    HYPERLINK(
        "#" &amp; SUBSTITUTE(_xlpm.FormulaText, "=", ""),
        _xlpm.FormulaText
    )
)</f>
        <v>= $K$64</v>
      </c>
      <c r="F48" s="50" t="s">
        <v>69</v>
      </c>
      <c r="G48" s="74">
        <f xml:space="preserve"> G45 - G46</f>
        <v>79376</v>
      </c>
      <c r="H48" s="66" t="str">
        <f ca="1">_xlfn.LET(
    _xlpm.FormulaText, _xlfn.FORMULATEXT(G48),
    _xlpm.FormulaText
)</f>
        <v>= G45 - G46</v>
      </c>
      <c r="J48" s="35"/>
      <c r="K48" s="36"/>
    </row>
    <row r="49" spans="2:12" ht="15.6">
      <c r="B49" t="str">
        <f>$B$57</f>
        <v>Medicare Wages Tax</v>
      </c>
      <c r="C49" s="2">
        <f xml:space="preserve"> $C$67</f>
        <v>1160</v>
      </c>
      <c r="D49" s="66" t="str">
        <f ca="1">_xlfn.LET(
    _xlpm.FormulaText, _xlfn.FORMULATEXT(C49),
    HYPERLINK(
        "#" &amp; SUBSTITUTE(_xlpm.FormulaText, "=", ""),
        _xlpm.FormulaText
    )
)</f>
        <v>= $C$67</v>
      </c>
      <c r="H49" s="66"/>
      <c r="J49" s="35"/>
      <c r="K49" s="36"/>
    </row>
    <row r="50" spans="2:12" ht="15.6">
      <c r="B50" t="str">
        <f>$F$57</f>
        <v>Medicare Net Investment Income Tax (NIIT)</v>
      </c>
      <c r="C50" s="2">
        <f xml:space="preserve"> $G$68</f>
        <v>0</v>
      </c>
      <c r="D50" s="66" t="str">
        <f ca="1">_xlfn.LET(
    _xlpm.FormulaText, _xlfn.FORMULATEXT(C50),
    HYPERLINK(
        "#" &amp; SUBSTITUTE(_xlpm.FormulaText, "=", ""),
        _xlpm.FormulaText
    )
)</f>
        <v>= $G$68</v>
      </c>
      <c r="H50" s="66"/>
      <c r="J50" s="35"/>
      <c r="K50" s="36"/>
    </row>
    <row r="51" spans="2:12" ht="15.6">
      <c r="B51" s="31" t="s">
        <v>70</v>
      </c>
      <c r="C51" s="32">
        <f xml:space="preserve"> SUBTOTAL(109,TotalTaxEstimateTable[Amount])</f>
        <v>17624</v>
      </c>
    </row>
    <row r="55" spans="2:12" ht="18" thickBot="1">
      <c r="B55" s="15" t="s">
        <v>71</v>
      </c>
      <c r="C55" s="15"/>
      <c r="D55" s="15"/>
      <c r="E55" s="15"/>
      <c r="F55" s="15"/>
      <c r="G55" s="15"/>
      <c r="H55" s="15"/>
      <c r="I55" s="15"/>
      <c r="J55" s="15"/>
      <c r="K55" s="15"/>
    </row>
    <row r="56" spans="2:12" ht="15" thickTop="1"/>
    <row r="57" spans="2:12" ht="15" thickBot="1">
      <c r="B57" s="37" t="s">
        <v>72</v>
      </c>
      <c r="C57" s="37"/>
      <c r="F57" s="37" t="s">
        <v>73</v>
      </c>
      <c r="G57" s="37"/>
      <c r="J57" s="37" t="s">
        <v>74</v>
      </c>
      <c r="K57" s="37"/>
    </row>
    <row r="59" spans="2:12">
      <c r="B59" s="52" t="s">
        <v>75</v>
      </c>
      <c r="C59" s="53">
        <f xml:space="preserve"> $C$16</f>
        <v>80000</v>
      </c>
      <c r="D59" s="66" t="str">
        <f ca="1">_xlfn.LET(
    _xlpm.FormulaText, _xlfn.FORMULATEXT(C59),
    HYPERLINK(
        "#" &amp; SUBSTITUTE(_xlpm.FormulaText, "=", ""),
        _xlpm.FormulaText
    )
)</f>
        <v>= $C$16</v>
      </c>
      <c r="F59" t="s">
        <v>76</v>
      </c>
      <c r="G59" s="2">
        <f>$C$25 + $G$25 + $K$25</f>
        <v>17000</v>
      </c>
      <c r="H59" s="43" t="str">
        <f xml:space="preserve"> IF(
    AND(0 &lt;= G59, G59 &lt;= MaxIncomeCell),
    InRangeLabelCell,
    OutOfRangeLabelCell
)</f>
        <v>✔</v>
      </c>
      <c r="J59" t="s">
        <v>77</v>
      </c>
      <c r="K59" s="2">
        <f>_xlfn.XLOOKUP(TRUE, SocialSecurityTaxRateTable[IsSelected], SocialSecurityTaxRateTable[Max Taxable Income], NotFoundLabelCell)</f>
        <v>176100</v>
      </c>
      <c r="L59" s="68" t="str" cm="1">
        <f t="array" aca="1" ref="L59" ca="1">_xlfn.LET(
    _xlpm.LookupTableName, "SocialSecurityTaxRateTable",
    _xlpm.ValueColumnName, "Max Taxable Income",
    _xlpm.TableValueColumn, INDIRECT(_xlpm.LookupTableName &amp; "[" &amp; _xlpm.ValueColumnName &amp; "]"),
    _xlpm.TableRowNum, _xlfn.XMATCH(TRUE, INDIRECT(_xlpm.LookupTableName &amp; "[IsSelected]")),
    _xlpm.LinkTarget, IF(ISNA(_xlpm.TableRowNum),
        "#" &amp; CELL("address", L59),
        "#" &amp; CELL("address", INDEX(_xlpm.TableValueColumn, _xlpm.TableRowNum))
    ),
    _xlpm.LinkLabel, IF(ISNA(_xlpm.TableRowNum),
        NotFoundLabelCell,
        "in " &amp; _xlpm.LookupTableName
    ),
    HYPERLINK(_xlpm.LinkTarget, _xlpm.LinkLabel)
)</f>
        <v>in SocialSecurityTaxRateTable</v>
      </c>
    </row>
    <row r="60" spans="2:12">
      <c r="C60" s="2"/>
      <c r="F60" t="s">
        <v>78</v>
      </c>
      <c r="G60" s="2">
        <f xml:space="preserve"> $C$37</f>
        <v>97000</v>
      </c>
      <c r="H60" s="66" t="str">
        <f ca="1">_xlfn.LET(
    _xlpm.FormulaText, _xlfn.FORMULATEXT(G60),
    HYPERLINK(
        "#" &amp; SUBSTITUTE(_xlpm.FormulaText, "=", ""),
        _xlpm.FormulaText
    )
)</f>
        <v>= $C$37</v>
      </c>
    </row>
    <row r="61" spans="2:12">
      <c r="B61" t="s">
        <v>79</v>
      </c>
      <c r="C61" s="6">
        <f>_xlfn.XLOOKUP(TRUE, MedicareWageTaxRateTable[IsSelected], MedicareWageTaxRateTable[Medicare Rate], NotFoundLabelCell)</f>
        <v>1.4500000000000001E-2</v>
      </c>
      <c r="D61" s="68" t="str" cm="1">
        <f t="array" aca="1" ref="D61" ca="1">_xlfn.LET(
    _xlpm.LookupTableName, "MedicareWageTaxRateTable",
    _xlpm.ValueColumnName, "Medicare Rate",
    _xlpm.TableValueColumn, INDIRECT(_xlpm.LookupTableName &amp; "[" &amp; _xlpm.ValueColumnName &amp; "]"),
    _xlpm.TableRowNum, _xlfn.XMATCH(TRUE, INDIRECT(_xlpm.LookupTableName &amp; "[IsSelected]")),
    _xlpm.LinkTarget, IF(ISNA(_xlpm.TableRowNum),
        "#" &amp; CELL("address", D61),
        "#" &amp; CELL("address", INDEX(_xlpm.TableValueColumn, _xlpm.TableRowNum))
    ),
    _xlpm.LinkLabel, IF(ISNA(_xlpm.TableRowNum),
        NotFoundLabelCell,
        "in " &amp; _xlpm.LookupTableName
    ),
    HYPERLINK(_xlpm.LinkTarget, _xlpm.LinkLabel)
)</f>
        <v>in MedicareWageTaxRateTable</v>
      </c>
      <c r="J61" t="s">
        <v>80</v>
      </c>
      <c r="K61" s="6">
        <f>_xlfn.XLOOKUP(TRUE, SocialSecurityTaxRateTable[IsSelected], SocialSecurityTaxRateTable[SocialSecurity Rate], NotFoundLabelCell)</f>
        <v>6.2E-2</v>
      </c>
      <c r="L61" s="68" t="str" cm="1">
        <f t="array" aca="1" ref="L61" ca="1">_xlfn.LET(
    _xlpm.LookupTableName, "SocialSecurityTaxRateTable",
    _xlpm.ValueColumnName, "SocialSecurity Rate",
    _xlpm.TableValueColumn, INDIRECT(_xlpm.LookupTableName &amp; "[" &amp; _xlpm.ValueColumnName &amp; "]"),
    _xlpm.TableRowNum, _xlfn.XMATCH(TRUE, INDIRECT(_xlpm.LookupTableName &amp; "[IsSelected]")),
    _xlpm.LinkTarget, IF(ISNA(_xlpm.TableRowNum),
        "#" &amp; CELL("address", L61),
        "#" &amp; CELL("address", INDEX(_xlpm.TableValueColumn, _xlpm.TableRowNum))
    ),
    _xlpm.LinkLabel, IF(ISNA(_xlpm.TableRowNum),
        NotFoundLabelCell,
        "in " &amp; _xlpm.LookupTableName
    ),
    HYPERLINK(_xlpm.LinkTarget, _xlpm.LinkLabel)
)</f>
        <v>in SocialSecurityTaxRateTable</v>
      </c>
    </row>
    <row r="62" spans="2:12">
      <c r="B62" t="s">
        <v>81</v>
      </c>
      <c r="C62" s="2">
        <f>_xlfn.XLOOKUP(TRUE, MedicareWageTaxRateTable[IsSelected], MedicareWageTaxRateTable[RangeStart], NotFoundLabelCell)</f>
        <v>0</v>
      </c>
      <c r="D62" s="68" t="str" cm="1">
        <f t="array" aca="1" ref="D62" ca="1">_xlfn.LET(
    _xlpm.LookupTableName, "MedicareWageTaxRateTable",
    _xlpm.ValueColumnName, "RangeStart",
    _xlpm.TableValueColumn, INDIRECT(_xlpm.LookupTableName &amp; "[" &amp; _xlpm.ValueColumnName &amp; "]"),
    _xlpm.TableRowNum, _xlfn.XMATCH(TRUE, INDIRECT(_xlpm.LookupTableName &amp; "[IsSelected]")),
    _xlpm.LinkTarget, IF(ISNA(_xlpm.TableRowNum),
        "#" &amp; CELL("address", D62),
        "#" &amp; CELL("address", INDEX(_xlpm.TableValueColumn, _xlpm.TableRowNum))
    ),
    _xlpm.LinkLabel, IF(ISNA(_xlpm.TableRowNum),
        NotFoundLabelCell,
        "in " &amp; _xlpm.LookupTableName
    ),
    HYPERLINK(_xlpm.LinkTarget, _xlpm.LinkLabel)
)</f>
        <v>in MedicareWageTaxRateTable</v>
      </c>
      <c r="F62" t="s">
        <v>82</v>
      </c>
      <c r="G62" s="2">
        <f>_xlfn.XLOOKUP(TRUE, MedicareNetInvestIncomeTaxTable[IsSelected], MedicareNetInvestIncomeTaxTable[Modified AGI Threshold], NotFoundLabelCell)</f>
        <v>200000</v>
      </c>
      <c r="H62" s="68" t="str" cm="1">
        <f t="array" aca="1" ref="H62" ca="1">_xlfn.LET(
    _xlpm.LookupTableName, "MedicareNetInvestIncomeTaxTable",
    _xlpm.ValueColumnName, "Modified AGI Threshold",
    _xlpm.TableValueColumn, INDIRECT(_xlpm.LookupTableName &amp; "[" &amp; _xlpm.ValueColumnName &amp; "]"),
    _xlpm.TableRowNum, _xlfn.XMATCH(TRUE, INDIRECT(_xlpm.LookupTableName &amp; "[IsSelected]")),
    _xlpm.LinkTarget, IF(ISNA(_xlpm.TableRowNum),
        "#" &amp; CELL("address", H62),
        "#" &amp; CELL("address", INDEX(_xlpm.TableValueColumn, _xlpm.TableRowNum))
    ),
    _xlpm.LinkLabel, IF(ISNA(_xlpm.TableRowNum),
        NotFoundLabelCell,
        "in " &amp; _xlpm.LookupTableName
    ),
    HYPERLINK(_xlpm.LinkTarget, _xlpm.LinkLabel)
)</f>
        <v>in MedicareNetInvestIncomeTaxTable</v>
      </c>
      <c r="J62" t="s">
        <v>83</v>
      </c>
      <c r="K62" s="2">
        <f xml:space="preserve"> MIN( $C$16, K59 )</f>
        <v>80000</v>
      </c>
      <c r="L62" s="66" t="str">
        <f ca="1">_xlfn.LET(
    _xlpm.FormulaText, _xlfn.FORMULATEXT(K62),
    _xlpm.FormulaText
)</f>
        <v>= MIN( $C$16, K59 )</v>
      </c>
    </row>
    <row r="63" spans="2:12">
      <c r="F63" t="s">
        <v>84</v>
      </c>
      <c r="G63" s="21" t="b">
        <f xml:space="preserve"> G60 &gt;= G62</f>
        <v>0</v>
      </c>
      <c r="H63" s="66" t="str">
        <f ca="1">_xlfn.LET(
    _xlpm.FormulaText, _xlfn.FORMULATEXT(G63),
    _xlpm.FormulaText
)</f>
        <v>= G60 &gt;= G62</v>
      </c>
    </row>
    <row r="64" spans="2:12">
      <c r="B64" t="s">
        <v>85</v>
      </c>
      <c r="C64" s="2">
        <f>IF(
    C59 = 0,
    0,
    _xlfn.XLOOKUP(TRUE, MedicareWageTaxRateTable[IsSelected], MedicareWageTaxRateTable[SumLowerRanges], NotFoundLabelCell)
)</f>
        <v>0</v>
      </c>
      <c r="D64" s="68" t="str" cm="1">
        <f t="array" aca="1" ref="D64" ca="1">_xlfn.LET(
    _xlpm.LookupTableName, "MedicareWageTaxRateTable",
    _xlpm.ValueColumnName, "SumLowerRanges",
    _xlpm.TableValueColumn, INDIRECT(_xlpm.LookupTableName &amp; "[" &amp; _xlpm.ValueColumnName &amp; "]"),
    _xlpm.TableRowNum, _xlfn.XMATCH(TRUE, INDIRECT(_xlpm.LookupTableName &amp; "[IsSelected]")),
    _xlpm.LinkTarget, IF(ISNA(_xlpm.TableRowNum),
        "#" &amp; CELL("address", D64),
        "#" &amp; CELL("address", INDEX(_xlpm.TableValueColumn, _xlpm.TableRowNum))
    ),
    _xlpm.LinkLabel, IF(ISNA(_xlpm.TableRowNum),
        NotFoundLabelCell,
        "in " &amp; _xlpm.LookupTableName
    ),
    HYPERLINK(_xlpm.LinkTarget, _xlpm.LinkLabel)
)</f>
        <v>in MedicareWageTaxRateTable</v>
      </c>
      <c r="J64" s="17" t="s">
        <v>86</v>
      </c>
      <c r="K64" s="18">
        <f xml:space="preserve"> K62 * K61</f>
        <v>4960</v>
      </c>
      <c r="L64" s="66" t="str">
        <f ca="1">_xlfn.LET(
    _xlpm.FormulaText, _xlfn.FORMULATEXT(K64),
    _xlpm.FormulaText
)</f>
        <v>= K62 * K61</v>
      </c>
    </row>
    <row r="65" spans="2:12">
      <c r="B65" t="s">
        <v>87</v>
      </c>
      <c r="C65" s="2">
        <f xml:space="preserve"> IF(
    C59 = 0,
    0,
    (C59 - C62) * C61
)</f>
        <v>1160</v>
      </c>
      <c r="F65" t="s">
        <v>88</v>
      </c>
      <c r="G65" s="6">
        <f>_xlfn.XLOOKUP(TRUE, MedicareNetInvestIncomeTaxTable[IsSelected], MedicareNetInvestIncomeTaxTable[NetInvestInc Rate], NotFoundLabelCell)</f>
        <v>3.7999999999999999E-2</v>
      </c>
      <c r="H65" s="68" t="str" cm="1">
        <f t="array" aca="1" ref="H65" ca="1">_xlfn.LET(
    _xlpm.LookupTableName, "MedicareNetInvestIncomeTaxTable",
    _xlpm.ValueColumnName, "NetInvestInc Rate",
    _xlpm.TableValueColumn, INDIRECT(_xlpm.LookupTableName &amp; "[" &amp; _xlpm.ValueColumnName &amp; "]"),
    _xlpm.TableRowNum, _xlfn.XMATCH(TRUE, INDIRECT(_xlpm.LookupTableName &amp; "[IsSelected]")),
    _xlpm.LinkTarget, IF(ISNA(_xlpm.TableRowNum),
        "#" &amp; CELL("address", H65),
        "#" &amp; CELL("address", INDEX(_xlpm.TableValueColumn, _xlpm.TableRowNum))
    ),
    _xlpm.LinkLabel, IF(ISNA(_xlpm.TableRowNum),
        NotFoundLabelCell,
        "in " &amp; _xlpm.LookupTableName
    ),
    HYPERLINK(_xlpm.LinkTarget, _xlpm.LinkLabel)
)</f>
        <v>in MedicareNetInvestIncomeTaxTable</v>
      </c>
    </row>
    <row r="66" spans="2:12">
      <c r="F66" t="s">
        <v>89</v>
      </c>
      <c r="G66" s="2">
        <f xml:space="preserve"> IF( G63,
    MIN( G59, MAX(G60-G62, 0)),
    0
)</f>
        <v>0</v>
      </c>
    </row>
    <row r="67" spans="2:12">
      <c r="B67" s="17" t="s">
        <v>86</v>
      </c>
      <c r="C67" s="18">
        <f xml:space="preserve"> C64 + C65</f>
        <v>1160</v>
      </c>
      <c r="D67" s="66" t="str">
        <f ca="1">_xlfn.LET(
    _xlpm.FormulaText, _xlfn.FORMULATEXT(C67),
    _xlpm.FormulaText
)</f>
        <v>= C64 + C65</v>
      </c>
    </row>
    <row r="68" spans="2:12">
      <c r="F68" s="17" t="s">
        <v>90</v>
      </c>
      <c r="G68" s="18">
        <f xml:space="preserve"> IF(
    G63,
    G66 * G65,
    0
)</f>
        <v>0</v>
      </c>
    </row>
    <row r="71" spans="2:12" ht="18" thickBot="1">
      <c r="B71" s="15" t="s">
        <v>91</v>
      </c>
      <c r="C71" s="15"/>
      <c r="D71" s="15"/>
      <c r="E71" s="15"/>
      <c r="F71" s="15"/>
      <c r="G71" s="15"/>
      <c r="H71" s="15"/>
      <c r="I71" s="15"/>
      <c r="J71" s="15"/>
      <c r="K71" s="15"/>
    </row>
    <row r="72" spans="2:12" ht="15" thickTop="1"/>
    <row r="73" spans="2:12" ht="15" thickBot="1">
      <c r="B73" s="37" t="s">
        <v>92</v>
      </c>
      <c r="C73" s="37"/>
      <c r="F73" s="37" t="s">
        <v>93</v>
      </c>
      <c r="G73" s="37"/>
      <c r="J73" s="37" t="s">
        <v>94</v>
      </c>
      <c r="K73" s="37"/>
    </row>
    <row r="75" spans="2:12">
      <c r="B75" t="str">
        <f>$B$16</f>
        <v>Total Gross Wages:</v>
      </c>
      <c r="C75" s="2">
        <f xml:space="preserve"> $C$16</f>
        <v>80000</v>
      </c>
      <c r="D75" s="66" t="str">
        <f ca="1">_xlfn.LET(
    _xlpm.FormulaText, _xlfn.FORMULATEXT(C75),
    HYPERLINK(
        "#" &amp; SUBSTITUTE(_xlpm.FormulaText, "=", ""),
        _xlpm.FormulaText
    )
)</f>
        <v>= $C$16</v>
      </c>
      <c r="F75" t="str">
        <f>$B$16</f>
        <v>Total Gross Wages:</v>
      </c>
      <c r="G75" s="2">
        <f xml:space="preserve"> $C$16</f>
        <v>80000</v>
      </c>
      <c r="H75" s="66" t="str">
        <f ca="1">_xlfn.LET(
    _xlpm.FormulaText, _xlfn.FORMULATEXT(G75),
    HYPERLINK(
        "#" &amp; SUBSTITUTE(_xlpm.FormulaText, "=", ""),
        _xlpm.FormulaText
    )
)</f>
        <v>= $C$16</v>
      </c>
      <c r="J75" t="str">
        <f>B73</f>
        <v>Regular Income Tax</v>
      </c>
      <c r="K75" s="2">
        <f xml:space="preserve"> C92</f>
        <v>10754</v>
      </c>
      <c r="L75" s="66" t="str">
        <f t="shared" ref="L75:L76" ca="1" si="2">_xlfn.LET(
    _xlpm.FormulaText, _xlfn.FORMULATEXT(K75),
    HYPERLINK(
        "#" &amp; SUBSTITUTE(_xlpm.FormulaText, "=", ""),
        _xlpm.FormulaText
    )
)</f>
        <v>= C92</v>
      </c>
    </row>
    <row r="76" spans="2:12">
      <c r="B76" t="str">
        <f>$B$25</f>
        <v>Total Rental &amp; similar Income:</v>
      </c>
      <c r="C76" s="2">
        <f xml:space="preserve"> $C$25</f>
        <v>10000</v>
      </c>
      <c r="D76" s="66" t="str">
        <f ca="1">_xlfn.LET(
    _xlpm.FormulaText, _xlfn.FORMULATEXT(C76),
    HYPERLINK(
        "#" &amp; SUBSTITUTE(_xlpm.FormulaText, "=", ""),
        _xlpm.FormulaText
    )
)</f>
        <v>= $C$25</v>
      </c>
      <c r="F76" t="str">
        <f>$B$25</f>
        <v>Total Rental &amp; similar Income:</v>
      </c>
      <c r="G76" s="2">
        <f xml:space="preserve"> $C$25</f>
        <v>10000</v>
      </c>
      <c r="H76" s="66" t="str">
        <f t="shared" ref="H76:H77" ca="1" si="3">_xlfn.LET(
    _xlpm.FormulaText, _xlfn.FORMULATEXT(G76),
    HYPERLINK(
        "#" &amp; SUBSTITUTE(_xlpm.FormulaText, "=", ""),
        _xlpm.FormulaText
    )
)</f>
        <v>= $C$25</v>
      </c>
      <c r="J76" t="str">
        <f>F73</f>
        <v>Alternative Minimum Tax (AMT)</v>
      </c>
      <c r="K76" s="2">
        <f xml:space="preserve"> G99</f>
        <v>0</v>
      </c>
      <c r="L76" s="66" t="str">
        <f t="shared" ca="1" si="2"/>
        <v>= G99</v>
      </c>
    </row>
    <row r="77" spans="2:12">
      <c r="B77" s="33" t="str">
        <f>$J$25</f>
        <v>Total Short-term Capital Gains:</v>
      </c>
      <c r="C77" s="34">
        <f xml:space="preserve"> $K$25</f>
        <v>2000</v>
      </c>
      <c r="D77" s="66" t="str">
        <f ca="1">_xlfn.LET(
    _xlpm.FormulaText, _xlfn.FORMULATEXT(C77),
    HYPERLINK(
        "#" &amp; SUBSTITUTE(_xlpm.FormulaText, "=", ""),
        _xlpm.FormulaText
    )
)</f>
        <v>= $K$25</v>
      </c>
      <c r="F77" s="33" t="str">
        <f>$J$25</f>
        <v>Total Short-term Capital Gains:</v>
      </c>
      <c r="G77" s="34">
        <f xml:space="preserve"> $K$25</f>
        <v>2000</v>
      </c>
      <c r="H77" s="66" t="str">
        <f t="shared" ca="1" si="3"/>
        <v>= $K$25</v>
      </c>
    </row>
    <row r="78" spans="2:12">
      <c r="B78" s="54" t="s">
        <v>95</v>
      </c>
      <c r="C78" s="55">
        <f xml:space="preserve"> SUM(C75:C77)</f>
        <v>92000</v>
      </c>
      <c r="F78" s="54" t="s">
        <v>95</v>
      </c>
      <c r="G78" s="55">
        <f>SUM(G75:G77)</f>
        <v>92000</v>
      </c>
      <c r="J78" s="17" t="str">
        <f>J73</f>
        <v>Effective Federal Income Tax</v>
      </c>
      <c r="K78" s="18">
        <f xml:space="preserve"> MAX( K75, K76 )</f>
        <v>10754</v>
      </c>
      <c r="L78" s="66" t="str">
        <f ca="1">_xlfn.LET(
    _xlpm.FormulaText, _xlfn.FORMULATEXT(K78),
    _xlpm.FormulaText
)</f>
        <v>= MAX( K75, K76 )</v>
      </c>
    </row>
    <row r="79" spans="2:12">
      <c r="J79" s="51" t="s">
        <v>96</v>
      </c>
    </row>
    <row r="80" spans="2:12">
      <c r="B80" t="str">
        <f>$F$16</f>
        <v>Total AGI above-the-line Deductions:</v>
      </c>
      <c r="C80" s="2">
        <f xml:space="preserve"> - $G$16</f>
        <v>-5000</v>
      </c>
      <c r="D80" s="66" t="str">
        <f ca="1">_xlfn.LET(
    _xlpm.FormulaText, _xlfn.FORMULATEXT(C80),
    HYPERLINK(
        "#" &amp; SUBSTITUTE(SUBSTITUTE(_xlpm.FormulaText, "-", ""), "=", ""),
        _xlpm.FormulaText
    )
)</f>
        <v>= - $G$16</v>
      </c>
      <c r="F80" s="33" t="str">
        <f>$F$16</f>
        <v>Total AGI above-the-line Deductions:</v>
      </c>
      <c r="G80" s="34">
        <f xml:space="preserve"> - $G$16</f>
        <v>-5000</v>
      </c>
      <c r="H80" s="66" t="str">
        <f ca="1">_xlfn.LET(
    _xlpm.FormulaText, _xlfn.FORMULATEXT(G80),
    HYPERLINK(
        "#" &amp; SUBSTITUTE(SUBSTITUTE(_xlpm.FormulaText, "-", ""), "=", ""),
        _xlpm.FormulaText
    )
)</f>
        <v>= - $G$16</v>
      </c>
    </row>
    <row r="81" spans="2:8">
      <c r="B81" s="33" t="str">
        <f xml:space="preserve"> $J$10</f>
        <v>Regular Income Tax Deductions</v>
      </c>
      <c r="C81" s="34">
        <f xml:space="preserve"> - $K$16</f>
        <v>-15000</v>
      </c>
      <c r="D81" s="66" t="str">
        <f ca="1">_xlfn.LET(
    _xlpm.FormulaText, _xlfn.FORMULATEXT(C81),
    HYPERLINK(
        "#" &amp; SUBSTITUTE(SUBSTITUTE(_xlpm.FormulaText, "-", ""), "=", ""),
        _xlpm.FormulaText
    )
)</f>
        <v>= - $K$16</v>
      </c>
      <c r="F81" s="54" t="s">
        <v>97</v>
      </c>
      <c r="G81" s="55">
        <f xml:space="preserve"> SUM(G80:G80)</f>
        <v>-5000</v>
      </c>
    </row>
    <row r="82" spans="2:8">
      <c r="B82" s="54" t="s">
        <v>97</v>
      </c>
      <c r="C82" s="55">
        <f xml:space="preserve"> SUM(C80:C81)</f>
        <v>-20000</v>
      </c>
    </row>
    <row r="83" spans="2:8">
      <c r="B83" s="33"/>
      <c r="C83" s="33"/>
      <c r="F83" s="60" t="s">
        <v>98</v>
      </c>
      <c r="G83" s="61">
        <f xml:space="preserve"> MAX( G78 + G81, 0 )</f>
        <v>87000</v>
      </c>
    </row>
    <row r="84" spans="2:8">
      <c r="B84" s="52" t="s">
        <v>99</v>
      </c>
      <c r="C84" s="53">
        <f xml:space="preserve"> MAX( C78 + C82, 0 )</f>
        <v>72000</v>
      </c>
    </row>
    <row r="85" spans="2:8">
      <c r="F85" t="s">
        <v>100</v>
      </c>
      <c r="G85" s="1">
        <f>_xlfn.XLOOKUP(TRUE, AlternativeMimumumTaxThresholdsTable[IsSelected], AlternativeMimumumTaxThresholdsTable[AMT Exemption], NotFoundLabelCell)</f>
        <v>88100</v>
      </c>
      <c r="H85" s="68" t="str" cm="1">
        <f t="array" aca="1" ref="H85" ca="1">_xlfn.LET(
    _xlpm.LookupTableName, "AlternativeMimumumTaxThresholdsTable",
    _xlpm.ValueColumnName, "AMT Exemption",
    _xlpm.TableValueColumn, INDIRECT(_xlpm.LookupTableName &amp; "[" &amp; _xlpm.ValueColumnName &amp; "]"),
    _xlpm.TableRowNum, _xlfn.XMATCH(TRUE, INDIRECT(_xlpm.LookupTableName &amp; "[IsSelected]")),
    _xlpm.LinkTarget, IF(ISNA(_xlpm.TableRowNum),
        "#" &amp; CELL("address", H85),
        "#" &amp; CELL("address", INDEX(_xlpm.TableValueColumn, _xlpm.TableRowNum))
    ),
    _xlpm.LinkLabel, IF(ISNA(_xlpm.TableRowNum),
        NotFoundLabelCell,
        "in " &amp; _xlpm.LookupTableName
    ),
    HYPERLINK(_xlpm.LinkTarget, _xlpm.LinkLabel)
)</f>
        <v>in AlternativeMimumumTaxThresholdsTable</v>
      </c>
    </row>
    <row r="86" spans="2:8">
      <c r="B86" t="s">
        <v>79</v>
      </c>
      <c r="C86" s="6">
        <f>_xlfn.XLOOKUP(TRUE, FederalIncomeTaxRateTable[IsSelected], FederalIncomeTaxRateTable[Federal Tax Rate], NotFoundLabelCell)</f>
        <v>0.22</v>
      </c>
      <c r="D86" s="68" t="str" cm="1">
        <f t="array" aca="1" ref="D86" ca="1">_xlfn.LET(
    _xlpm.LookupTableName, "FederalIncomeTaxRateTable",
    _xlpm.ValueColumnName, "Federal Tax Rate",
    _xlpm.TableValueColumn, INDIRECT(_xlpm.LookupTableName &amp; "[" &amp; _xlpm.ValueColumnName &amp; "]"),
    _xlpm.TableRowNum, _xlfn.XMATCH(TRUE, INDIRECT(_xlpm.LookupTableName &amp; "[IsSelected]")),
    _xlpm.LinkTarget, IF(ISNA(_xlpm.TableRowNum),
        "#" &amp; CELL("address", D86),
        "#" &amp; CELL("address", INDEX(_xlpm.TableValueColumn, _xlpm.TableRowNum))
    ),
    _xlpm.LinkLabel, IF(ISNA(_xlpm.TableRowNum),
        NotFoundLabelCell,
        "in " &amp; _xlpm.LookupTableName
    ),
    HYPERLINK(_xlpm.LinkTarget, _xlpm.LinkLabel)
)</f>
        <v>in FederalIncomeTaxRateTable</v>
      </c>
      <c r="F86" t="s">
        <v>101</v>
      </c>
      <c r="G86" s="1">
        <f>_xlfn.XLOOKUP(TRUE, AlternativeMimumumTaxThresholdsTable[IsSelected], AlternativeMimumumTaxThresholdsTable[Phaseout Threshold], NotFoundLabelCell)</f>
        <v>626350</v>
      </c>
      <c r="H86" s="68" t="str" cm="1">
        <f t="array" aca="1" ref="H86" ca="1">_xlfn.LET(
    _xlpm.LookupTableName, "AlternativeMimumumTaxThresholdsTable",
    _xlpm.ValueColumnName, "Phaseout Threshold",
    _xlpm.TableValueColumn, INDIRECT(_xlpm.LookupTableName &amp; "[" &amp; _xlpm.ValueColumnName &amp; "]"),
    _xlpm.TableRowNum, _xlfn.XMATCH(TRUE, INDIRECT(_xlpm.LookupTableName &amp; "[IsSelected]")),
    _xlpm.LinkTarget, IF(ISNA(_xlpm.TableRowNum),
        "#" &amp; CELL("address", H86),
        "#" &amp; CELL("address", INDEX(_xlpm.TableValueColumn, _xlpm.TableRowNum))
    ),
    _xlpm.LinkLabel, IF(ISNA(_xlpm.TableRowNum),
        NotFoundLabelCell,
        "in " &amp; _xlpm.LookupTableName
    ),
    HYPERLINK(_xlpm.LinkTarget, _xlpm.LinkLabel)
)</f>
        <v>in AlternativeMimumumTaxThresholdsTable</v>
      </c>
    </row>
    <row r="87" spans="2:8">
      <c r="B87" t="s">
        <v>81</v>
      </c>
      <c r="C87" s="2">
        <f>_xlfn.XLOOKUP(TRUE, FederalIncomeTaxRateTable[IsSelected], FederalIncomeTaxRateTable[RangeStart], NotFoundLabelCell)</f>
        <v>48475</v>
      </c>
      <c r="D87" s="68" t="str" cm="1">
        <f t="array" aca="1" ref="D87" ca="1">_xlfn.LET(
    _xlpm.LookupTableName, "FederalIncomeTaxRateTable",
    _xlpm.ValueColumnName, "RangeStart",
    _xlpm.TableValueColumn, INDIRECT(_xlpm.LookupTableName &amp; "[" &amp; _xlpm.ValueColumnName &amp; "]"),
    _xlpm.TableRowNum, _xlfn.XMATCH(TRUE, INDIRECT(_xlpm.LookupTableName &amp; "[IsSelected]")),
    _xlpm.LinkTarget, IF(ISNA(_xlpm.TableRowNum),
        "#" &amp; CELL("address", D87),
        "#" &amp; CELL("address", INDEX(_xlpm.TableValueColumn, _xlpm.TableRowNum))
    ),
    _xlpm.LinkLabel, IF(ISNA(_xlpm.TableRowNum),
        NotFoundLabelCell,
        "in " &amp; _xlpm.LookupTableName
    ),
    HYPERLINK(_xlpm.LinkTarget, _xlpm.LinkLabel)
)</f>
        <v>in FederalIncomeTaxRateTable</v>
      </c>
      <c r="F87" t="s">
        <v>102</v>
      </c>
      <c r="G87" s="2">
        <f xml:space="preserve"> MAX( G83 - G86, 0)</f>
        <v>0</v>
      </c>
    </row>
    <row r="88" spans="2:8">
      <c r="F88" t="s">
        <v>103</v>
      </c>
      <c r="G88" s="2">
        <f>G87 * 0.25</f>
        <v>0</v>
      </c>
    </row>
    <row r="89" spans="2:8">
      <c r="B89" t="s">
        <v>85</v>
      </c>
      <c r="C89" s="2">
        <f>IF(
    C84 = 0,
    0,
    _xlfn.XLOOKUP(TRUE, FederalIncomeTaxRateTable[IsSelected], FederalIncomeTaxRateTable[SumLowerRanges], NotFoundLabelCell)
)</f>
        <v>5578.5</v>
      </c>
      <c r="D89" s="68" t="str" cm="1">
        <f t="array" aca="1" ref="D89" ca="1">_xlfn.LET(
    _xlpm.LookupTableName, "FederalIncomeTaxRateTable",
    _xlpm.ValueColumnName, "SumLowerRanges",
    _xlpm.TableValueColumn, INDIRECT(_xlpm.LookupTableName &amp; "[" &amp; _xlpm.ValueColumnName &amp; "]"),
    _xlpm.TableRowNum, _xlfn.XMATCH(TRUE, INDIRECT(_xlpm.LookupTableName &amp; "[IsSelected]")),
    _xlpm.LinkTarget, IF(ISNA(_xlpm.TableRowNum),
        "#" &amp; CELL("address", D89),
        "#" &amp; CELL("address", INDEX(_xlpm.TableValueColumn, _xlpm.TableRowNum))
    ),
    _xlpm.LinkLabel, IF(ISNA(_xlpm.TableRowNum),
        NotFoundLabelCell,
        "in " &amp; _xlpm.LookupTableName
    ),
    HYPERLINK(_xlpm.LinkTarget, _xlpm.LinkLabel)
)</f>
        <v>in FederalIncomeTaxRateTable</v>
      </c>
      <c r="F89" s="62" t="s">
        <v>104</v>
      </c>
      <c r="G89" s="63">
        <f>MAX( G85 - G88, 0 )</f>
        <v>88100</v>
      </c>
    </row>
    <row r="90" spans="2:8">
      <c r="B90" t="s">
        <v>87</v>
      </c>
      <c r="C90" s="2">
        <f xml:space="preserve"> IF(
    C84 = 0,
    0,
    (C84 - C87) * C86
)</f>
        <v>5175.5</v>
      </c>
    </row>
    <row r="91" spans="2:8" ht="15" thickBot="1">
      <c r="B91" s="10"/>
      <c r="C91" s="10"/>
      <c r="F91" s="60" t="s">
        <v>105</v>
      </c>
      <c r="G91" s="61">
        <f>MAX(G83-G89, 0)</f>
        <v>0</v>
      </c>
    </row>
    <row r="92" spans="2:8">
      <c r="B92" s="3" t="s">
        <v>106</v>
      </c>
      <c r="C92" s="18">
        <f>C89 + C90</f>
        <v>10754</v>
      </c>
      <c r="D92" s="66" t="str">
        <f ca="1">_xlfn.LET(
    _xlpm.FormulaText, _xlfn.FORMULATEXT(C92),
    _xlpm.FormulaText
)</f>
        <v>=C89 + C90</v>
      </c>
    </row>
    <row r="93" spans="2:8">
      <c r="F93" t="s">
        <v>79</v>
      </c>
      <c r="G93" s="6">
        <f>_xlfn.XLOOKUP(TRUE, AlternativeMinimumTaxRateTable[IsSelected], AlternativeMinimumTaxRateTable[AMT Rate], NotFoundLabelCell)</f>
        <v>0.26</v>
      </c>
      <c r="H93" s="68" t="str" cm="1">
        <f t="array" aca="1" ref="H93" ca="1">_xlfn.LET(
    _xlpm.LookupTableName, "AlternativeMinimumTaxRateTable",
    _xlpm.ValueColumnName, "AMT Rate",
    _xlpm.TableValueColumn, INDIRECT(_xlpm.LookupTableName &amp; "[" &amp; _xlpm.ValueColumnName &amp; "]"),
    _xlpm.TableRowNum, _xlfn.XMATCH(TRUE, INDIRECT(_xlpm.LookupTableName &amp; "[IsSelected]")),
    _xlpm.LinkTarget, IF(ISNA(_xlpm.TableRowNum),
        "#" &amp; CELL("address", H93),
        "#" &amp; CELL("address", INDEX(_xlpm.TableValueColumn, _xlpm.TableRowNum))
    ),
    _xlpm.LinkLabel, IF(ISNA(_xlpm.TableRowNum),
        NotFoundLabelCell,
        "in " &amp; _xlpm.LookupTableName
    ),
    HYPERLINK(_xlpm.LinkTarget, _xlpm.LinkLabel)
)</f>
        <v>in AlternativeMinimumTaxRateTable</v>
      </c>
    </row>
    <row r="94" spans="2:8">
      <c r="B94" s="56" t="s">
        <v>107</v>
      </c>
      <c r="C94" s="57">
        <f xml:space="preserve"> C92 / C78</f>
        <v>0.11689130434782609</v>
      </c>
      <c r="D94" s="66" t="str">
        <f ca="1">_xlfn.LET(
    _xlpm.FormulaText, _xlfn.FORMULATEXT(C94),
    _xlpm.FormulaText
)</f>
        <v>= C92 / C78</v>
      </c>
      <c r="F94" t="s">
        <v>81</v>
      </c>
      <c r="G94" s="2">
        <f>_xlfn.XLOOKUP(TRUE, AlternativeMinimumTaxRateTable[IsSelected], AlternativeMinimumTaxRateTable[RangeStart], NotFoundLabelCell)</f>
        <v>0</v>
      </c>
      <c r="H94" s="68" t="str" cm="1">
        <f t="array" aca="1" ref="H94" ca="1">_xlfn.LET(
    _xlpm.LookupTableName, "AlternativeMinimumTaxRateTable",
    _xlpm.ValueColumnName, "RangeStart",
    _xlpm.TableValueColumn, INDIRECT(_xlpm.LookupTableName &amp; "[" &amp; _xlpm.ValueColumnName &amp; "]"),
    _xlpm.TableRowNum, _xlfn.XMATCH(TRUE, INDIRECT(_xlpm.LookupTableName &amp; "[IsSelected]")),
    _xlpm.LinkTarget, IF(ISNA(_xlpm.TableRowNum),
        "#" &amp; CELL("address", H94),
        "#" &amp; CELL("address", INDEX(_xlpm.TableValueColumn, _xlpm.TableRowNum))
    ),
    _xlpm.LinkLabel, IF(ISNA(_xlpm.TableRowNum),
        NotFoundLabelCell,
        "in " &amp; _xlpm.LookupTableName
    ),
    HYPERLINK(_xlpm.LinkTarget, _xlpm.LinkLabel)
)</f>
        <v>in AlternativeMinimumTaxRateTable</v>
      </c>
    </row>
    <row r="95" spans="2:8">
      <c r="B95" s="56" t="s">
        <v>108</v>
      </c>
      <c r="C95" s="57">
        <f xml:space="preserve"> C92 / C84</f>
        <v>0.14936111111111111</v>
      </c>
      <c r="D95" s="66" t="str">
        <f ca="1">_xlfn.LET(
    _xlpm.FormulaText, _xlfn.FORMULATEXT(C95),
    _xlpm.FormulaText
)</f>
        <v>= C92 / C84</v>
      </c>
    </row>
    <row r="96" spans="2:8">
      <c r="F96" t="s">
        <v>85</v>
      </c>
      <c r="G96" s="2">
        <f>IF(
    G91 = 0,
    0,
    _xlfn.XLOOKUP(TRUE, AlternativeMinimumTaxRateTable[IsSelected], AlternativeMinimumTaxRateTable[SumLowerRanges], NotFoundLabelCell)
)</f>
        <v>0</v>
      </c>
      <c r="H96" s="68" t="str" cm="1">
        <f t="array" aca="1" ref="H96" ca="1">_xlfn.LET(
    _xlpm.LookupTableName, "AlternativeMinimumTaxRateTable",
    _xlpm.ValueColumnName, "SumLowerRanges",
    _xlpm.TableValueColumn, INDIRECT(_xlpm.LookupTableName &amp; "[" &amp; _xlpm.ValueColumnName &amp; "]"),
    _xlpm.TableRowNum, _xlfn.XMATCH(TRUE, INDIRECT(_xlpm.LookupTableName &amp; "[IsSelected]")),
    _xlpm.LinkTarget, IF(ISNA(_xlpm.TableRowNum),
        "#" &amp; CELL("address", H96),
        "#" &amp; CELL("address", INDEX(_xlpm.TableValueColumn, _xlpm.TableRowNum))
    ),
    _xlpm.LinkLabel, IF(ISNA(_xlpm.TableRowNum),
        NotFoundLabelCell,
        "in " &amp; _xlpm.LookupTableName
    ),
    HYPERLINK(_xlpm.LinkTarget, _xlpm.LinkLabel)
)</f>
        <v>in AlternativeMinimumTaxRateTable</v>
      </c>
    </row>
    <row r="97" spans="2:8">
      <c r="F97" t="s">
        <v>87</v>
      </c>
      <c r="G97" s="2">
        <f xml:space="preserve"> IF(
    G91 = 0,
    0,
    (G91 - G94) * G93
)</f>
        <v>0</v>
      </c>
    </row>
    <row r="98" spans="2:8" ht="15" thickBot="1">
      <c r="F98" s="10"/>
      <c r="G98" s="10"/>
    </row>
    <row r="99" spans="2:8">
      <c r="F99" s="3" t="s">
        <v>109</v>
      </c>
      <c r="G99" s="18">
        <f>G96 + G97</f>
        <v>0</v>
      </c>
      <c r="H99" s="66" t="str">
        <f ca="1">_xlfn.LET(
    _xlpm.FormulaText, _xlfn.FORMULATEXT(G99),
    _xlpm.FormulaText
)</f>
        <v>=G96 + G97</v>
      </c>
    </row>
    <row r="101" spans="2:8">
      <c r="F101" s="56" t="s">
        <v>107</v>
      </c>
      <c r="G101" s="57">
        <f xml:space="preserve"> G99 / G78</f>
        <v>0</v>
      </c>
      <c r="H101" s="66" t="str">
        <f ca="1">_xlfn.LET(
    _xlpm.FormulaText, _xlfn.FORMULATEXT(G101),
    _xlpm.FormulaText
)</f>
        <v>= G99 / G78</v>
      </c>
    </row>
    <row r="102" spans="2:8">
      <c r="F102" s="56" t="s">
        <v>108</v>
      </c>
      <c r="G102" s="57">
        <f xml:space="preserve"> G99 / G83</f>
        <v>0</v>
      </c>
      <c r="H102" s="66" t="str">
        <f ca="1">_xlfn.LET(
    _xlpm.FormulaText, _xlfn.FORMULATEXT(G102),
    _xlpm.FormulaText
)</f>
        <v>= G99 / G83</v>
      </c>
    </row>
    <row r="103" spans="2:8" ht="15" thickBot="1">
      <c r="B103" s="37" t="s">
        <v>110</v>
      </c>
      <c r="C103" s="37"/>
    </row>
    <row r="105" spans="2:8">
      <c r="B105" t="str">
        <f>$F$25</f>
        <v>Total Long-term Capital Gains:</v>
      </c>
      <c r="C105" s="2">
        <f xml:space="preserve"> G25</f>
        <v>5000</v>
      </c>
      <c r="D105" s="66" t="str">
        <f ca="1">_xlfn.LET(
    _xlpm.FormulaText, _xlfn.FORMULATEXT(C105),
    HYPERLINK(
        "#" &amp; SUBSTITUTE(_xlpm.FormulaText, "=", ""),
        _xlpm.FormulaText
    )
)</f>
        <v>= G25</v>
      </c>
    </row>
    <row r="107" spans="2:8">
      <c r="B107" s="52" t="s">
        <v>111</v>
      </c>
      <c r="C107" s="53">
        <f xml:space="preserve"> C84</f>
        <v>72000</v>
      </c>
      <c r="D107" s="66" t="str">
        <f ca="1">_xlfn.LET(
    _xlpm.FormulaText, _xlfn.FORMULATEXT(C107),
    HYPERLINK(
        "#" &amp; SUBSTITUTE(_xlpm.FormulaText, "=", ""),
        _xlpm.FormulaText
    )
)</f>
        <v>= C84</v>
      </c>
    </row>
    <row r="108" spans="2:8">
      <c r="B108" t="s">
        <v>112</v>
      </c>
      <c r="C108" s="6">
        <f>_xlfn.XLOOKUP(TRUE, LongTermCapitalGainsTaxRateTable[IsBracketStart], LongTermCapitalGainsTaxRateTable[LTCG Rate], NotFoundLabelCell)</f>
        <v>0.15</v>
      </c>
      <c r="D108" s="68" t="str" cm="1">
        <f t="array" aca="1" ref="D108" ca="1">_xlfn.LET(
    _xlpm.LookupTableName, "LongTermCapitalGainsTaxRateTable",
    _xlpm.ValueColumnName, "LTCG Rate",
    _xlpm.TableValueColumn, INDIRECT(_xlpm.LookupTableName &amp; "[" &amp; _xlpm.ValueColumnName &amp; "]"),
    _xlpm.TableRowNum, _xlfn.XMATCH(TRUE, INDIRECT(_xlpm.LookupTableName &amp; "[IsBracketStart]")),
    _xlpm.LinkTarget, IF(ISNA(_xlpm.TableRowNum),
        "#" &amp; CELL("address", D108),
        "#" &amp; CELL("address", INDEX(_xlpm.TableValueColumn, _xlpm.TableRowNum))
    ),
    _xlpm.LinkLabel, IF(ISNA(_xlpm.TableRowNum),
        NotFoundLabelCell,
        "in " &amp; _xlpm.LookupTableName
    ),
    HYPERLINK(_xlpm.LinkTarget, _xlpm.LinkLabel)
)</f>
        <v>in LongTermCapitalGainsTaxRateTable</v>
      </c>
    </row>
    <row r="109" spans="2:8">
      <c r="B109" t="s">
        <v>113</v>
      </c>
      <c r="C109" s="2">
        <f>_xlfn.XLOOKUP(TRUE, LongTermCapitalGainsTaxRateTable[IsBracketStart], LongTermCapitalGainsTaxRateTable[RangeStart], NotFoundLabelCell)</f>
        <v>48350</v>
      </c>
      <c r="D109" s="68" t="str" cm="1">
        <f t="array" aca="1" ref="D109" ca="1">_xlfn.LET(
    _xlpm.LookupTableName, "LongTermCapitalGainsTaxRateTable",
    _xlpm.ValueColumnName, "RangeStart",
    _xlpm.TableValueColumn, INDIRECT(_xlpm.LookupTableName &amp; "[" &amp; _xlpm.ValueColumnName &amp; "]"),
    _xlpm.TableRowNum, _xlfn.XMATCH(TRUE, INDIRECT(_xlpm.LookupTableName &amp; "[IsBracketStart]")),
    _xlpm.LinkTarget, IF(ISNA(_xlpm.TableRowNum),
        "#" &amp; CELL("address", D109),
        "#" &amp; CELL("address", INDEX(_xlpm.TableValueColumn, _xlpm.TableRowNum))
    ),
    _xlpm.LinkLabel, IF(ISNA(_xlpm.TableRowNum),
        NotFoundLabelCell,
        "in " &amp; _xlpm.LookupTableName
    ),
    HYPERLINK(_xlpm.LinkTarget, _xlpm.LinkLabel)
)</f>
        <v>in LongTermCapitalGainsTaxRateTable</v>
      </c>
    </row>
    <row r="110" spans="2:8">
      <c r="B110" t="s">
        <v>114</v>
      </c>
      <c r="C110" s="2">
        <f>IF(
    C107 = 0,
    0,
    _xlfn.XLOOKUP(TRUE, LongTermCapitalGainsTaxRateTable[IsBracketStart], LongTermCapitalGainsTaxRateTable[SumLowerRanges], NotFoundLabelCell)
)</f>
        <v>0</v>
      </c>
      <c r="D110" s="68" t="str" cm="1">
        <f t="array" aca="1" ref="D110" ca="1">_xlfn.LET(
    _xlpm.LookupTableName, "LongTermCapitalGainsTaxRateTable",
    _xlpm.ValueColumnName, "SumLowerRanges",
    _xlpm.TableValueColumn, INDIRECT(_xlpm.LookupTableName &amp; "[" &amp; _xlpm.ValueColumnName &amp; "]"),
    _xlpm.TableRowNum, _xlfn.XMATCH(TRUE, INDIRECT(_xlpm.LookupTableName &amp; "[IsBracketStart]")),
    _xlpm.LinkTarget, IF(ISNA(_xlpm.TableRowNum),
        "#" &amp; CELL("address", D110),
        "#" &amp; CELL("address", INDEX(_xlpm.TableValueColumn, _xlpm.TableRowNum))
    ),
    _xlpm.LinkLabel, IF(ISNA(_xlpm.TableRowNum),
        NotFoundLabelCell,
        "in " &amp; _xlpm.LookupTableName
    ),
    HYPERLINK(_xlpm.LinkTarget, _xlpm.LinkLabel)
)</f>
        <v>in LongTermCapitalGainsTaxRateTable</v>
      </c>
    </row>
    <row r="111" spans="2:8">
      <c r="B111" t="s">
        <v>115</v>
      </c>
      <c r="C111" s="2">
        <f xml:space="preserve"> IF(
    C107 = 0,
    0,
    (C107 - C109) * C108
)</f>
        <v>3547.5</v>
      </c>
    </row>
    <row r="112" spans="2:8">
      <c r="B112" s="62" t="s">
        <v>116</v>
      </c>
      <c r="C112" s="63">
        <f xml:space="preserve"> C110 + C111</f>
        <v>3547.5</v>
      </c>
      <c r="D112" s="66" t="str">
        <f ca="1">_xlfn.LET(
    _xlpm.FormulaText, _xlfn.FORMULATEXT(C112),
    _xlpm.FormulaText
)</f>
        <v>= C110 + C111</v>
      </c>
    </row>
    <row r="114" spans="2:4">
      <c r="B114" s="52" t="s">
        <v>117</v>
      </c>
      <c r="C114" s="53">
        <f xml:space="preserve"> C107 + C105</f>
        <v>77000</v>
      </c>
      <c r="D114" s="66" t="str">
        <f ca="1">_xlfn.LET(
    _xlpm.FormulaText, _xlfn.FORMULATEXT(C114),
    _xlpm.FormulaText
)</f>
        <v>= C107 + C105</v>
      </c>
    </row>
    <row r="115" spans="2:4">
      <c r="B115" t="s">
        <v>112</v>
      </c>
      <c r="C115" s="6">
        <f>_xlfn.XLOOKUP(TRUE, LongTermCapitalGainsTaxRateTable[IsBracketEnd], LongTermCapitalGainsTaxRateTable[LTCG Rate], NotFoundLabelCell)</f>
        <v>0.15</v>
      </c>
      <c r="D115" s="68" t="str" cm="1">
        <f t="array" aca="1" ref="D115" ca="1">_xlfn.LET(
    _xlpm.LookupTableName, "LongTermCapitalGainsTaxRateTable",
    _xlpm.ValueColumnName, "LTCG Rate",
    _xlpm.TableValueColumn, INDIRECT(_xlpm.LookupTableName &amp; "[" &amp; _xlpm.ValueColumnName &amp; "]"),
    _xlpm.TableRowNum, _xlfn.XMATCH(TRUE, INDIRECT(_xlpm.LookupTableName &amp; "[IsBracketEnd]")),
    _xlpm.LinkTarget, IF(ISNA(_xlpm.TableRowNum),
        "#" &amp; CELL("address", D115),
        "#" &amp; CELL("address", INDEX(_xlpm.TableValueColumn, _xlpm.TableRowNum))
    ),
    _xlpm.LinkLabel, IF(ISNA(_xlpm.TableRowNum),
        NotFoundLabelCell,
        "in " &amp; _xlpm.LookupTableName
    ),
    HYPERLINK(_xlpm.LinkTarget, _xlpm.LinkLabel)
)</f>
        <v>in LongTermCapitalGainsTaxRateTable</v>
      </c>
    </row>
    <row r="116" spans="2:4">
      <c r="B116" t="s">
        <v>113</v>
      </c>
      <c r="C116" s="2">
        <f>_xlfn.XLOOKUP(TRUE, LongTermCapitalGainsTaxRateTable[IsBracketEnd], LongTermCapitalGainsTaxRateTable[RangeStart], NotFoundLabelCell)</f>
        <v>48350</v>
      </c>
      <c r="D116" s="68" t="str" cm="1">
        <f t="array" aca="1" ref="D116" ca="1">_xlfn.LET(
    _xlpm.LookupTableName, "LongTermCapitalGainsTaxRateTable",
    _xlpm.ValueColumnName, "RangeStart",
    _xlpm.TableValueColumn, INDIRECT(_xlpm.LookupTableName &amp; "[" &amp; _xlpm.ValueColumnName &amp; "]"),
    _xlpm.TableRowNum, _xlfn.XMATCH(TRUE, INDIRECT(_xlpm.LookupTableName &amp; "[IsBracketEnd]")),
    _xlpm.LinkTarget, IF(ISNA(_xlpm.TableRowNum),
        "#" &amp; CELL("address", D116),
        "#" &amp; CELL("address", INDEX(_xlpm.TableValueColumn, _xlpm.TableRowNum))
    ),
    _xlpm.LinkLabel, IF(ISNA(_xlpm.TableRowNum),
        NotFoundLabelCell,
        "in " &amp; _xlpm.LookupTableName
    ),
    HYPERLINK(_xlpm.LinkTarget, _xlpm.LinkLabel)
)</f>
        <v>in LongTermCapitalGainsTaxRateTable</v>
      </c>
    </row>
    <row r="117" spans="2:4">
      <c r="B117" t="s">
        <v>114</v>
      </c>
      <c r="C117" s="2">
        <f>IF(
    C114 = 0,
    0,
    _xlfn.XLOOKUP(TRUE, LongTermCapitalGainsTaxRateTable[IsBracketEnd], LongTermCapitalGainsTaxRateTable[SumLowerRanges], NotFoundLabelCell)
)</f>
        <v>0</v>
      </c>
      <c r="D117" s="68" t="str" cm="1">
        <f t="array" aca="1" ref="D117" ca="1">_xlfn.LET(
    _xlpm.LookupTableName, "LongTermCapitalGainsTaxRateTable",
    _xlpm.ValueColumnName, "SumLowerRanges",
    _xlpm.TableValueColumn, INDIRECT(_xlpm.LookupTableName &amp; "[" &amp; _xlpm.ValueColumnName &amp; "]"),
    _xlpm.TableRowNum, _xlfn.XMATCH(TRUE, INDIRECT(_xlpm.LookupTableName &amp; "[IsBracketEnd]")),
    _xlpm.LinkTarget, IF(ISNA(_xlpm.TableRowNum),
        "#" &amp; CELL("address", D117),
        "#" &amp; CELL("address", INDEX(_xlpm.TableValueColumn, _xlpm.TableRowNum))
    ),
    _xlpm.LinkLabel, IF(ISNA(_xlpm.TableRowNum),
        NotFoundLabelCell,
        "in " &amp; _xlpm.LookupTableName
    ),
    HYPERLINK(_xlpm.LinkTarget, _xlpm.LinkLabel)
)</f>
        <v>in LongTermCapitalGainsTaxRateTable</v>
      </c>
    </row>
    <row r="118" spans="2:4">
      <c r="B118" t="s">
        <v>115</v>
      </c>
      <c r="C118" s="2">
        <f xml:space="preserve"> IF(
    C114 = 0,
    0,
    (C114 - C116) * C115
)</f>
        <v>4297.5</v>
      </c>
    </row>
    <row r="119" spans="2:4">
      <c r="B119" s="62" t="s">
        <v>118</v>
      </c>
      <c r="C119" s="63">
        <f xml:space="preserve"> C117 + C118</f>
        <v>4297.5</v>
      </c>
      <c r="D119" s="66" t="str">
        <f ca="1">_xlfn.LET(
    _xlpm.FormulaText, _xlfn.FORMULATEXT(C119),
    _xlpm.FormulaText
)</f>
        <v>= C117 + C118</v>
      </c>
    </row>
    <row r="120" spans="2:4" ht="15" thickBot="1">
      <c r="B120" s="10"/>
      <c r="C120" s="10"/>
    </row>
    <row r="121" spans="2:4">
      <c r="B121" s="3" t="s">
        <v>119</v>
      </c>
      <c r="C121" s="4">
        <f xml:space="preserve"> C119 - C112</f>
        <v>750</v>
      </c>
      <c r="D121" s="66" t="str">
        <f ca="1">_xlfn.LET(
    _xlpm.FormulaText, _xlfn.FORMULATEXT(C121),
    _xlpm.FormulaText
)</f>
        <v>= C119 - C112</v>
      </c>
    </row>
    <row r="123" spans="2:4">
      <c r="B123" s="56" t="s">
        <v>120</v>
      </c>
      <c r="C123" s="57">
        <f xml:space="preserve"> C121 / C105</f>
        <v>0.15</v>
      </c>
      <c r="D123" s="66" t="str">
        <f ca="1">_xlfn.LET(
    _xlpm.FormulaText, _xlfn.FORMULATEXT(C123),
    _xlpm.FormulaText
)</f>
        <v>= C121 / C105</v>
      </c>
    </row>
  </sheetData>
  <mergeCells count="3">
    <mergeCell ref="B6:C6"/>
    <mergeCell ref="B29:C29"/>
    <mergeCell ref="B41:C41"/>
  </mergeCells>
  <conditionalFormatting sqref="D16">
    <cfRule type="expression" dxfId="105" priority="9">
      <formula>(D16 &lt;&gt; InRangeLabelCell)</formula>
    </cfRule>
  </conditionalFormatting>
  <conditionalFormatting sqref="D25">
    <cfRule type="expression" dxfId="104" priority="8">
      <formula>(D25 &lt;&gt; InRangeLabelCell)</formula>
    </cfRule>
  </conditionalFormatting>
  <conditionalFormatting sqref="D37">
    <cfRule type="expression" dxfId="103" priority="3">
      <formula>(D37 &lt;&gt; InRangeLabelCell)</formula>
    </cfRule>
  </conditionalFormatting>
  <conditionalFormatting sqref="H16">
    <cfRule type="expression" dxfId="102" priority="7">
      <formula>(H16 &lt;&gt; InRangeLabelCell)</formula>
    </cfRule>
  </conditionalFormatting>
  <conditionalFormatting sqref="H25">
    <cfRule type="expression" dxfId="101" priority="6">
      <formula>(H25 &lt;&gt; InRangeLabelCell)</formula>
    </cfRule>
  </conditionalFormatting>
  <conditionalFormatting sqref="H38">
    <cfRule type="expression" dxfId="100" priority="4">
      <formula>(H38 &lt;&gt; InRangeLabelCell)</formula>
    </cfRule>
  </conditionalFormatting>
  <conditionalFormatting sqref="H59">
    <cfRule type="expression" dxfId="99" priority="2">
      <formula>(H59 &lt;&gt; InRangeLabelCell)</formula>
    </cfRule>
  </conditionalFormatting>
  <conditionalFormatting sqref="L25">
    <cfRule type="expression" dxfId="98" priority="5">
      <formula>(L25 &lt;&gt; InRangeLabelCell)</formula>
    </cfRule>
  </conditionalFormatting>
  <dataValidations count="3">
    <dataValidation type="list" showInputMessage="1" showErrorMessage="1" errorTitle="Select a valid Filing Status!" sqref="G8" xr:uid="{22F786C8-D548-412E-9EDA-1984E78A27DA}">
      <formula1>INDIRECT("FilingStatusTable[Filing Status]")</formula1>
    </dataValidation>
    <dataValidation showInputMessage="1" showErrorMessage="1" errorTitle="Select a valid Filing Status!" sqref="G9" xr:uid="{01E1D8A8-A2C5-4CD1-ABDF-8F475C398654}"/>
    <dataValidation type="list" showInputMessage="1" showErrorMessage="1" sqref="C8" xr:uid="{9F275DEF-268C-4257-A600-61E6809140EC}">
      <formula1>INDIRECT("SupportedYearsTable[Tax Year]")</formula1>
    </dataValidation>
  </dataValidations>
  <pageMargins left="0.7" right="0.7" top="0.75" bottom="0.75" header="0.3" footer="0.3"/>
  <ignoredErrors>
    <ignoredError sqref="G88" formula="1"/>
  </ignoredErrors>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3440E-DDCC-4C0C-A27B-0551C5290F43}">
  <dimension ref="B2:M210"/>
  <sheetViews>
    <sheetView workbookViewId="0">
      <selection activeCell="B4" sqref="B4"/>
    </sheetView>
  </sheetViews>
  <sheetFormatPr defaultRowHeight="14.45"/>
  <cols>
    <col min="2" max="2" width="20.7109375" customWidth="1"/>
    <col min="3" max="4" width="12.140625" bestFit="1" customWidth="1"/>
    <col min="5" max="5" width="10.7109375" customWidth="1"/>
    <col min="6" max="6" width="29.28515625" bestFit="1" customWidth="1"/>
    <col min="7" max="7" width="15.140625" bestFit="1" customWidth="1"/>
    <col min="8" max="8" width="18" bestFit="1" customWidth="1"/>
    <col min="9" max="9" width="22.7109375" bestFit="1" customWidth="1"/>
    <col min="10" max="10" width="14.7109375" bestFit="1" customWidth="1"/>
    <col min="11" max="11" width="17.85546875" bestFit="1" customWidth="1"/>
    <col min="12" max="12" width="14.28515625" bestFit="1" customWidth="1"/>
    <col min="13" max="13" width="13.5703125" bestFit="1" customWidth="1"/>
  </cols>
  <sheetData>
    <row r="2" spans="2:12" ht="15.6">
      <c r="B2" s="23" t="s">
        <v>121</v>
      </c>
      <c r="C2" s="23"/>
      <c r="D2" s="23"/>
      <c r="E2" s="23"/>
      <c r="F2" s="23"/>
      <c r="G2" s="23"/>
      <c r="H2" s="22"/>
    </row>
    <row r="3" spans="2:12" ht="15.6">
      <c r="B3" s="23" t="s">
        <v>122</v>
      </c>
      <c r="C3" s="23"/>
      <c r="D3" s="23"/>
      <c r="E3" s="23"/>
      <c r="F3" s="23"/>
      <c r="G3" s="23"/>
      <c r="H3" s="22"/>
    </row>
    <row r="6" spans="2:12">
      <c r="B6" s="5" t="str">
        <f ca="1">_xlfn.LET(
    _xlpm.HandleFormulaText, _xlfn.FORMULATEXT(D6),
    MID(_xlpm.HandleFormulaText, 2, FIND("[", _xlpm.HandleFormulaText) - 2)
)</f>
        <v>FilingStatusTable</v>
      </c>
      <c r="C6" s="13" t="s">
        <v>123</v>
      </c>
      <c r="D6" s="14" t="str">
        <f>FilingStatusTable[[#Headers],[Filing Status]]</f>
        <v>Filing Status</v>
      </c>
      <c r="F6" t="s">
        <v>124</v>
      </c>
      <c r="G6" s="21" t="s">
        <v>125</v>
      </c>
    </row>
    <row r="7" spans="2:12">
      <c r="C7" s="16" t="str">
        <f xml:space="preserve"> _xlfn.LET(
    _xlpm.CountSelected, COUNTIF(FilingStatusTable[IsSelected], TRUE),
    IF( _xlpm.CountSelected = 1, SelectionValidLabelCell, "Error: " &amp; _xlpm.CountSelected &amp; " rows selected")
)</f>
        <v>Valid</v>
      </c>
      <c r="F7" t="s">
        <v>126</v>
      </c>
      <c r="G7" s="21" t="s">
        <v>127</v>
      </c>
    </row>
    <row r="8" spans="2:12">
      <c r="B8" s="24" t="s">
        <v>128</v>
      </c>
      <c r="C8" s="24" t="s">
        <v>129</v>
      </c>
      <c r="F8" t="s">
        <v>130</v>
      </c>
      <c r="G8" s="21" t="s">
        <v>131</v>
      </c>
    </row>
    <row r="9" spans="2:12">
      <c r="B9" t="s">
        <v>18</v>
      </c>
      <c r="C9" t="b">
        <f xml:space="preserve"> (FilingStatusTable[[#This Row],[Filing Status]] = EstimateInputFilingStatusCell)</f>
        <v>1</v>
      </c>
      <c r="F9" t="s">
        <v>132</v>
      </c>
      <c r="G9" s="21" t="s">
        <v>133</v>
      </c>
    </row>
    <row r="10" spans="2:12" ht="15">
      <c r="B10" t="s">
        <v>134</v>
      </c>
      <c r="C10" t="b">
        <f xml:space="preserve"> (FilingStatusTable[[#This Row],[Filing Status]] = EstimateInputFilingStatusCell)</f>
        <v>0</v>
      </c>
      <c r="F10" t="s">
        <v>135</v>
      </c>
      <c r="G10" s="79">
        <v>10000000</v>
      </c>
    </row>
    <row r="11" spans="2:12">
      <c r="B11" t="s">
        <v>136</v>
      </c>
      <c r="C11" t="b">
        <f xml:space="preserve"> (FilingStatusTable[[#This Row],[Filing Status]] = EstimateInputFilingStatusCell)</f>
        <v>0</v>
      </c>
    </row>
    <row r="12" spans="2:12">
      <c r="B12" t="s">
        <v>137</v>
      </c>
      <c r="C12" t="b">
        <f xml:space="preserve"> (FilingStatusTable[[#This Row],[Filing Status]] = EstimateInputFilingStatusCell)</f>
        <v>0</v>
      </c>
    </row>
    <row r="14" spans="2:12">
      <c r="F14" s="27" t="str">
        <f ca="1">_xlfn.LET(
    _xlpm.HandleFormulaText, _xlfn.FORMULATEXT(H14),
    MID(_xlpm.HandleFormulaText, 2, FIND("[", _xlpm.HandleFormulaText) - 2)
)</f>
        <v>MedicareWageTaxRateTable</v>
      </c>
      <c r="G14" s="13" t="s">
        <v>123</v>
      </c>
      <c r="H14" s="14" t="str">
        <f>MedicareWageTaxRateTable[[#Headers],[Medicare Rate]]</f>
        <v>Medicare Rate</v>
      </c>
    </row>
    <row r="15" spans="2:12">
      <c r="L15" s="16" t="str">
        <f xml:space="preserve"> _xlfn.LET(
    _xlpm.CountSelected, COUNTIF(MedicareWageTaxRateTable[IsSelected], TRUE),
    IF( _xlpm.CountSelected = 1, SelectionValidLabelCell, "Error: " &amp; _xlpm.CountSelected &amp; " rows selected")
)</f>
        <v>Valid</v>
      </c>
    </row>
    <row r="16" spans="2:12">
      <c r="B16" s="5" t="str">
        <f ca="1">_xlfn.LET(
    _xlpm.HandleFormulaText, _xlfn.FORMULATEXT(D16),
    MID(_xlpm.HandleFormulaText, 2, FIND("[", _xlpm.HandleFormulaText) - 2)
)</f>
        <v>SupportedYearsTable</v>
      </c>
      <c r="C16" s="13" t="s">
        <v>123</v>
      </c>
      <c r="D16" s="14" t="str">
        <f>SupportedYearsTable[[#Headers],[Tax Year]]</f>
        <v>Tax Year</v>
      </c>
      <c r="F16" s="24" t="s">
        <v>128</v>
      </c>
      <c r="G16" s="24" t="s">
        <v>138</v>
      </c>
      <c r="H16" s="24" t="s">
        <v>139</v>
      </c>
      <c r="I16" s="24" t="s">
        <v>140</v>
      </c>
      <c r="J16" s="24" t="s">
        <v>141</v>
      </c>
      <c r="K16" s="24" t="s">
        <v>142</v>
      </c>
      <c r="L16" s="24" t="s">
        <v>129</v>
      </c>
    </row>
    <row r="17" spans="2:12">
      <c r="C17" s="16" t="str">
        <f xml:space="preserve"> _xlfn.LET(
    _xlpm.CountSelected, COUNTIF(SupportedYearsTable[IsSelected], TRUE),
    IF( _xlpm.CountSelected = 1, SelectionValidLabelCell, "Error: " &amp; _xlpm.CountSelected &amp; " rows selected")
)</f>
        <v>Valid</v>
      </c>
      <c r="F17" s="6" t="s">
        <v>18</v>
      </c>
      <c r="G17" s="7">
        <v>2024</v>
      </c>
      <c r="H17" s="6">
        <v>1.4500000000000001E-2</v>
      </c>
      <c r="I17" s="28">
        <v>0</v>
      </c>
      <c r="J17" s="28">
        <v>200000</v>
      </c>
      <c r="K17" s="2">
        <v>0</v>
      </c>
      <c r="L17"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0</v>
      </c>
    </row>
    <row r="18" spans="2:12">
      <c r="B18" s="24" t="s">
        <v>138</v>
      </c>
      <c r="C18" s="24" t="s">
        <v>129</v>
      </c>
      <c r="F18" s="6" t="s">
        <v>18</v>
      </c>
      <c r="G18" s="7">
        <v>2024</v>
      </c>
      <c r="H18" s="6">
        <f xml:space="preserve"> $H17 + 0.009</f>
        <v>2.35E-2</v>
      </c>
      <c r="I18" s="28">
        <f>$J17</f>
        <v>200000</v>
      </c>
      <c r="J18" s="28">
        <f>MaxIncomeCell</f>
        <v>10000000</v>
      </c>
      <c r="K18" s="2">
        <f>$J17*$H17</f>
        <v>2900</v>
      </c>
      <c r="L18"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0</v>
      </c>
    </row>
    <row r="19" spans="2:12">
      <c r="B19">
        <v>2024</v>
      </c>
      <c r="C19" t="b">
        <f xml:space="preserve"> (SupportedYearsTable[[#This Row],[Tax Year]] = EstimateInputTaxYearCell)</f>
        <v>0</v>
      </c>
      <c r="F19" s="6" t="s">
        <v>134</v>
      </c>
      <c r="G19" s="7">
        <v>2024</v>
      </c>
      <c r="H19" s="6">
        <v>1.4500000000000001E-2</v>
      </c>
      <c r="I19" s="28">
        <v>0</v>
      </c>
      <c r="J19" s="28">
        <v>250000</v>
      </c>
      <c r="K19" s="2">
        <v>0</v>
      </c>
      <c r="L19"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0</v>
      </c>
    </row>
    <row r="20" spans="2:12">
      <c r="B20">
        <v>2025</v>
      </c>
      <c r="C20" t="b">
        <f xml:space="preserve"> (SupportedYearsTable[[#This Row],[Tax Year]] = EstimateInputTaxYearCell)</f>
        <v>1</v>
      </c>
      <c r="F20" s="6" t="s">
        <v>134</v>
      </c>
      <c r="G20" s="7">
        <v>2024</v>
      </c>
      <c r="H20" s="6">
        <f xml:space="preserve"> $H19 + 0.009</f>
        <v>2.35E-2</v>
      </c>
      <c r="I20" s="28">
        <f>$J19</f>
        <v>250000</v>
      </c>
      <c r="J20" s="28">
        <f>MaxIncomeCell</f>
        <v>10000000</v>
      </c>
      <c r="K20" s="2">
        <f>$J19*$H19</f>
        <v>3625</v>
      </c>
      <c r="L20"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0</v>
      </c>
    </row>
    <row r="21" spans="2:12">
      <c r="F21" s="6" t="s">
        <v>136</v>
      </c>
      <c r="G21" s="7">
        <v>2024</v>
      </c>
      <c r="H21" s="6">
        <v>1.4500000000000001E-2</v>
      </c>
      <c r="I21" s="28">
        <v>0</v>
      </c>
      <c r="J21" s="28">
        <v>125000</v>
      </c>
      <c r="K21" s="2">
        <v>0</v>
      </c>
      <c r="L21"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0</v>
      </c>
    </row>
    <row r="22" spans="2:12">
      <c r="F22" s="6" t="s">
        <v>136</v>
      </c>
      <c r="G22" s="7">
        <v>2024</v>
      </c>
      <c r="H22" s="6">
        <f xml:space="preserve"> $H21 + 0.009</f>
        <v>2.35E-2</v>
      </c>
      <c r="I22" s="28">
        <f>$J21</f>
        <v>125000</v>
      </c>
      <c r="J22" s="28">
        <f>MaxIncomeCell</f>
        <v>10000000</v>
      </c>
      <c r="K22" s="2">
        <f>$J21*$H21</f>
        <v>1812.5</v>
      </c>
      <c r="L22"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0</v>
      </c>
    </row>
    <row r="23" spans="2:12">
      <c r="F23" s="6" t="s">
        <v>137</v>
      </c>
      <c r="G23" s="7">
        <v>2024</v>
      </c>
      <c r="H23" s="6">
        <v>1.4500000000000001E-2</v>
      </c>
      <c r="I23" s="28">
        <v>0</v>
      </c>
      <c r="J23" s="28">
        <v>200000</v>
      </c>
      <c r="K23" s="2">
        <v>0</v>
      </c>
      <c r="L23"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0</v>
      </c>
    </row>
    <row r="24" spans="2:12">
      <c r="F24" s="6" t="s">
        <v>137</v>
      </c>
      <c r="G24" s="7">
        <v>2024</v>
      </c>
      <c r="H24" s="6">
        <f xml:space="preserve"> $H23 + 0.009</f>
        <v>2.35E-2</v>
      </c>
      <c r="I24" s="28">
        <f>$J23</f>
        <v>200000</v>
      </c>
      <c r="J24" s="28">
        <f>MaxIncomeCell</f>
        <v>10000000</v>
      </c>
      <c r="K24" s="2">
        <f>$J23*$H23</f>
        <v>2900</v>
      </c>
      <c r="L24"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0</v>
      </c>
    </row>
    <row r="25" spans="2:12">
      <c r="F25" s="29"/>
      <c r="G25" s="7"/>
      <c r="H25" s="6"/>
      <c r="I25" s="28"/>
      <c r="J25" s="28"/>
      <c r="K25" s="2"/>
      <c r="L25"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0</v>
      </c>
    </row>
    <row r="26" spans="2:12">
      <c r="F26" s="6" t="s">
        <v>18</v>
      </c>
      <c r="G26" s="7">
        <v>2025</v>
      </c>
      <c r="H26" s="6">
        <v>1.4500000000000001E-2</v>
      </c>
      <c r="I26" s="28">
        <v>0</v>
      </c>
      <c r="J26" s="28">
        <v>200000</v>
      </c>
      <c r="K26" s="2">
        <v>0</v>
      </c>
      <c r="L26"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1</v>
      </c>
    </row>
    <row r="27" spans="2:12">
      <c r="F27" s="6" t="s">
        <v>18</v>
      </c>
      <c r="G27" s="7">
        <v>2025</v>
      </c>
      <c r="H27" s="6">
        <f xml:space="preserve"> $H26 + 0.009</f>
        <v>2.35E-2</v>
      </c>
      <c r="I27" s="28">
        <f>$J26</f>
        <v>200000</v>
      </c>
      <c r="J27" s="28">
        <f>MaxIncomeCell</f>
        <v>10000000</v>
      </c>
      <c r="K27" s="2">
        <f>$J26*$H26</f>
        <v>2900</v>
      </c>
      <c r="L27"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0</v>
      </c>
    </row>
    <row r="28" spans="2:12">
      <c r="F28" s="6" t="s">
        <v>134</v>
      </c>
      <c r="G28" s="7">
        <v>2025</v>
      </c>
      <c r="H28" s="6">
        <v>1.4500000000000001E-2</v>
      </c>
      <c r="I28" s="28">
        <v>0</v>
      </c>
      <c r="J28" s="28">
        <v>250000</v>
      </c>
      <c r="K28" s="2">
        <v>0</v>
      </c>
      <c r="L28"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0</v>
      </c>
    </row>
    <row r="29" spans="2:12">
      <c r="F29" s="6" t="s">
        <v>134</v>
      </c>
      <c r="G29" s="7">
        <v>2025</v>
      </c>
      <c r="H29" s="6">
        <f xml:space="preserve"> $H28 + 0.009</f>
        <v>2.35E-2</v>
      </c>
      <c r="I29" s="28">
        <f>$J28</f>
        <v>250000</v>
      </c>
      <c r="J29" s="28">
        <f>MaxIncomeCell</f>
        <v>10000000</v>
      </c>
      <c r="K29" s="2">
        <f>$J28*$H28</f>
        <v>3625</v>
      </c>
      <c r="L29"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0</v>
      </c>
    </row>
    <row r="30" spans="2:12">
      <c r="F30" s="6" t="s">
        <v>136</v>
      </c>
      <c r="G30" s="7">
        <v>2025</v>
      </c>
      <c r="H30" s="6">
        <v>1.4500000000000001E-2</v>
      </c>
      <c r="I30" s="28">
        <v>0</v>
      </c>
      <c r="J30" s="28">
        <v>125000</v>
      </c>
      <c r="K30" s="2">
        <v>0</v>
      </c>
      <c r="L30"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0</v>
      </c>
    </row>
    <row r="31" spans="2:12">
      <c r="F31" s="6" t="s">
        <v>136</v>
      </c>
      <c r="G31" s="7">
        <v>2025</v>
      </c>
      <c r="H31" s="6">
        <f xml:space="preserve"> $H30 + 0.009</f>
        <v>2.35E-2</v>
      </c>
      <c r="I31" s="28">
        <f>$J30</f>
        <v>125000</v>
      </c>
      <c r="J31" s="28">
        <f>MaxIncomeCell</f>
        <v>10000000</v>
      </c>
      <c r="K31" s="2">
        <f>$J30*$H30</f>
        <v>1812.5</v>
      </c>
      <c r="L31"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0</v>
      </c>
    </row>
    <row r="32" spans="2:12">
      <c r="F32" s="6" t="s">
        <v>137</v>
      </c>
      <c r="G32" s="7">
        <v>2025</v>
      </c>
      <c r="H32" s="6">
        <v>1.4500000000000001E-2</v>
      </c>
      <c r="I32" s="28">
        <v>0</v>
      </c>
      <c r="J32" s="28">
        <v>200000</v>
      </c>
      <c r="K32" s="2">
        <v>0</v>
      </c>
      <c r="L32"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0</v>
      </c>
    </row>
    <row r="33" spans="6:12">
      <c r="F33" s="6" t="s">
        <v>137</v>
      </c>
      <c r="G33" s="7">
        <v>2025</v>
      </c>
      <c r="H33" s="6">
        <f xml:space="preserve"> $H32 + 0.009</f>
        <v>2.35E-2</v>
      </c>
      <c r="I33" s="28">
        <f>$J32</f>
        <v>200000</v>
      </c>
      <c r="J33" s="28">
        <f>MaxIncomeCell</f>
        <v>10000000</v>
      </c>
      <c r="K33" s="2">
        <f>$J32*$H32</f>
        <v>2900</v>
      </c>
      <c r="L33" t="b">
        <f xml:space="preserve"> AND(
    (MedicareWageTaxRateTable[[#This Row],[Tax Year]] = EstimateInputTaxYearCell),
    (MedicareWageTaxRateTable[[#This Row],[Filing Status]] = EstimateInputFilingStatusCell),
    (MedicareWageTaxRateTable[[#This Row],[RangeStart]] &lt; Estimator!$C$59),
    (MedicareWageTaxRateTable[[#This Row],[RangeEnd]] &gt;= Estimator!$C$59)
)</f>
        <v>0</v>
      </c>
    </row>
    <row r="37" spans="6:12">
      <c r="F37" s="27" t="str">
        <f ca="1">_xlfn.LET(
    _xlpm.HandleFormulaText, _xlfn.FORMULATEXT(H37),
    MID(_xlpm.HandleFormulaText, 2, FIND("[", _xlpm.HandleFormulaText) - 2)
)</f>
        <v>MedicareNetInvestIncomeTaxTable</v>
      </c>
      <c r="G37" s="13" t="s">
        <v>123</v>
      </c>
      <c r="H37" s="14" t="str">
        <f>MedicareNetInvestIncomeTaxTable[[#Headers],[NetInvestInc Rate]]</f>
        <v>NetInvestInc Rate</v>
      </c>
    </row>
    <row r="38" spans="6:12">
      <c r="J38" s="16" t="str">
        <f xml:space="preserve"> _xlfn.LET(
    _xlpm.CountSelected, COUNTIF(MedicareNetInvestIncomeTaxTable[IsSelected], TRUE),
    IF( _xlpm.CountSelected = 1, SelectionValidLabelCell, "Error: " &amp; _xlpm.CountSelected &amp; " rows selected")
)</f>
        <v>Valid</v>
      </c>
    </row>
    <row r="39" spans="6:12">
      <c r="F39" t="s">
        <v>143</v>
      </c>
      <c r="G39" t="s">
        <v>138</v>
      </c>
      <c r="H39" t="s">
        <v>144</v>
      </c>
      <c r="I39" t="s">
        <v>145</v>
      </c>
      <c r="J39" t="s">
        <v>129</v>
      </c>
    </row>
    <row r="40" spans="6:12">
      <c r="F40" s="6" t="s">
        <v>18</v>
      </c>
      <c r="G40" s="7">
        <v>2024</v>
      </c>
      <c r="H40" s="6">
        <v>3.7999999999999999E-2</v>
      </c>
      <c r="I40" s="28">
        <v>200000</v>
      </c>
      <c r="J40" t="b">
        <f xml:space="preserve"> AND(
    (MedicareNetInvestIncomeTaxTable[[#This Row],[Tax Year]] = EstimateInputTaxYearCell),
    (MedicareNetInvestIncomeTaxTable[[#This Row],[Status LabelId]] = EstimateInputFilingStatusCell)
)</f>
        <v>0</v>
      </c>
    </row>
    <row r="41" spans="6:12">
      <c r="F41" s="6" t="s">
        <v>134</v>
      </c>
      <c r="G41" s="7">
        <v>2024</v>
      </c>
      <c r="H41" s="6">
        <v>3.7999999999999999E-2</v>
      </c>
      <c r="I41" s="28">
        <v>250000</v>
      </c>
      <c r="J41" t="b">
        <f xml:space="preserve"> AND(
    (MedicareNetInvestIncomeTaxTable[[#This Row],[Tax Year]] = EstimateInputTaxYearCell),
    (MedicareNetInvestIncomeTaxTable[[#This Row],[Status LabelId]] = EstimateInputFilingStatusCell)
)</f>
        <v>0</v>
      </c>
    </row>
    <row r="42" spans="6:12">
      <c r="F42" s="6" t="s">
        <v>136</v>
      </c>
      <c r="G42" s="7">
        <v>2024</v>
      </c>
      <c r="H42" s="6">
        <v>3.7999999999999999E-2</v>
      </c>
      <c r="I42" s="28">
        <v>125000</v>
      </c>
      <c r="J42" t="b">
        <f xml:space="preserve"> AND(
    (MedicareNetInvestIncomeTaxTable[[#This Row],[Tax Year]] = EstimateInputTaxYearCell),
    (MedicareNetInvestIncomeTaxTable[[#This Row],[Status LabelId]] = EstimateInputFilingStatusCell)
)</f>
        <v>0</v>
      </c>
    </row>
    <row r="43" spans="6:12">
      <c r="F43" s="6" t="s">
        <v>137</v>
      </c>
      <c r="G43" s="7">
        <v>2024</v>
      </c>
      <c r="H43" s="6">
        <v>3.7999999999999999E-2</v>
      </c>
      <c r="I43" s="28">
        <v>200000</v>
      </c>
      <c r="J43" t="b">
        <f xml:space="preserve"> AND(
    (MedicareNetInvestIncomeTaxTable[[#This Row],[Tax Year]] = EstimateInputTaxYearCell),
    (MedicareNetInvestIncomeTaxTable[[#This Row],[Status LabelId]] = EstimateInputFilingStatusCell)
)</f>
        <v>0</v>
      </c>
    </row>
    <row r="44" spans="6:12">
      <c r="F44" s="6"/>
      <c r="G44" s="7"/>
      <c r="H44" s="6"/>
      <c r="I44" s="1"/>
      <c r="J44" t="b">
        <f xml:space="preserve"> AND(
    (MedicareNetInvestIncomeTaxTable[[#This Row],[Tax Year]] = EstimateInputTaxYearCell),
    (MedicareNetInvestIncomeTaxTable[[#This Row],[Status LabelId]] = EstimateInputFilingStatusCell)
)</f>
        <v>0</v>
      </c>
    </row>
    <row r="45" spans="6:12">
      <c r="F45" s="6" t="s">
        <v>18</v>
      </c>
      <c r="G45" s="7">
        <v>2025</v>
      </c>
      <c r="H45" s="6">
        <v>3.7999999999999999E-2</v>
      </c>
      <c r="I45" s="28">
        <v>200000</v>
      </c>
      <c r="J45" t="b">
        <f xml:space="preserve"> AND(
    (MedicareNetInvestIncomeTaxTable[[#This Row],[Tax Year]] = EstimateInputTaxYearCell),
    (MedicareNetInvestIncomeTaxTable[[#This Row],[Status LabelId]] = EstimateInputFilingStatusCell)
)</f>
        <v>1</v>
      </c>
    </row>
    <row r="46" spans="6:12">
      <c r="F46" s="6" t="s">
        <v>134</v>
      </c>
      <c r="G46" s="7">
        <v>2025</v>
      </c>
      <c r="H46" s="6">
        <v>3.7999999999999999E-2</v>
      </c>
      <c r="I46" s="28">
        <v>250000</v>
      </c>
      <c r="J46" t="b">
        <f xml:space="preserve"> AND(
    (MedicareNetInvestIncomeTaxTable[[#This Row],[Tax Year]] = EstimateInputTaxYearCell),
    (MedicareNetInvestIncomeTaxTable[[#This Row],[Status LabelId]] = EstimateInputFilingStatusCell)
)</f>
        <v>0</v>
      </c>
    </row>
    <row r="47" spans="6:12">
      <c r="F47" s="6" t="s">
        <v>136</v>
      </c>
      <c r="G47" s="7">
        <v>2025</v>
      </c>
      <c r="H47" s="6">
        <v>3.7999999999999999E-2</v>
      </c>
      <c r="I47" s="28">
        <v>125000</v>
      </c>
      <c r="J47" t="b">
        <f xml:space="preserve"> AND(
    (MedicareNetInvestIncomeTaxTable[[#This Row],[Tax Year]] = EstimateInputTaxYearCell),
    (MedicareNetInvestIncomeTaxTable[[#This Row],[Status LabelId]] = EstimateInputFilingStatusCell)
)</f>
        <v>0</v>
      </c>
    </row>
    <row r="48" spans="6:12">
      <c r="F48" s="6" t="s">
        <v>137</v>
      </c>
      <c r="G48" s="7">
        <v>2025</v>
      </c>
      <c r="H48" s="6">
        <v>3.7999999999999999E-2</v>
      </c>
      <c r="I48" s="28">
        <v>200000</v>
      </c>
      <c r="J48" t="b">
        <f xml:space="preserve"> AND(
    (MedicareNetInvestIncomeTaxTable[[#This Row],[Tax Year]] = EstimateInputTaxYearCell),
    (MedicareNetInvestIncomeTaxTable[[#This Row],[Status LabelId]] = EstimateInputFilingStatusCell)
)</f>
        <v>0</v>
      </c>
    </row>
    <row r="52" spans="6:11">
      <c r="F52" s="27" t="str">
        <f ca="1">_xlfn.LET(
    _xlpm.HandleFormulaText, _xlfn.FORMULATEXT(H52),
    MID(_xlpm.HandleFormulaText, 2, FIND("[", _xlpm.HandleFormulaText) - 2)
)</f>
        <v>SocialSecurityTaxRateTable</v>
      </c>
      <c r="G52" s="13" t="s">
        <v>123</v>
      </c>
      <c r="H52" s="14" t="str">
        <f>SocialSecurityTaxRateTable[[#Headers],[SocialSecurity Rate]]</f>
        <v>SocialSecurity Rate</v>
      </c>
    </row>
    <row r="53" spans="6:11">
      <c r="K53" s="16" t="str">
        <f xml:space="preserve"> _xlfn.LET(
    _xlpm.CountSelected, COUNTIF(SocialSecurityTaxRateTable[IsSelected], TRUE),
    IF( _xlpm.CountSelected = 1, SelectionValidLabelCell, "Error: " &amp; _xlpm.CountSelected &amp; " rows selected")
)</f>
        <v>Valid</v>
      </c>
    </row>
    <row r="54" spans="6:11">
      <c r="F54" s="24" t="s">
        <v>143</v>
      </c>
      <c r="G54" s="24" t="s">
        <v>138</v>
      </c>
      <c r="H54" s="24" t="s">
        <v>146</v>
      </c>
      <c r="I54" s="24" t="s">
        <v>147</v>
      </c>
      <c r="J54" s="24" t="s">
        <v>142</v>
      </c>
      <c r="K54" s="24" t="s">
        <v>129</v>
      </c>
    </row>
    <row r="55" spans="6:11">
      <c r="F55" s="6" t="s">
        <v>18</v>
      </c>
      <c r="G55" s="7">
        <v>2024</v>
      </c>
      <c r="H55" s="6">
        <v>6.2E-2</v>
      </c>
      <c r="I55" s="28">
        <v>168600</v>
      </c>
      <c r="J55" s="2">
        <v>0</v>
      </c>
      <c r="K55" t="b">
        <f xml:space="preserve"> AND(
    (SocialSecurityTaxRateTable[[#This Row],[Tax Year]] = EstimateInputTaxYearCell),
    (SocialSecurityTaxRateTable[[#This Row],[Status LabelId]] = EstimateInputFilingStatusCell)
)</f>
        <v>0</v>
      </c>
    </row>
    <row r="56" spans="6:11">
      <c r="F56" s="6" t="s">
        <v>134</v>
      </c>
      <c r="G56" s="7">
        <v>2024</v>
      </c>
      <c r="H56" s="6">
        <v>6.2E-2</v>
      </c>
      <c r="I56" s="28">
        <v>168600</v>
      </c>
      <c r="J56" s="2">
        <v>0</v>
      </c>
      <c r="K56" t="b">
        <f xml:space="preserve"> AND(
    (SocialSecurityTaxRateTable[[#This Row],[Tax Year]] = EstimateInputTaxYearCell),
    (SocialSecurityTaxRateTable[[#This Row],[Status LabelId]] = EstimateInputFilingStatusCell)
)</f>
        <v>0</v>
      </c>
    </row>
    <row r="57" spans="6:11">
      <c r="F57" s="6" t="s">
        <v>136</v>
      </c>
      <c r="G57" s="7">
        <v>2024</v>
      </c>
      <c r="H57" s="6">
        <v>6.2E-2</v>
      </c>
      <c r="I57" s="28">
        <v>168600</v>
      </c>
      <c r="J57" s="2">
        <v>0</v>
      </c>
      <c r="K57" t="b">
        <f xml:space="preserve"> AND(
    (SocialSecurityTaxRateTable[[#This Row],[Tax Year]] = EstimateInputTaxYearCell),
    (SocialSecurityTaxRateTable[[#This Row],[Status LabelId]] = EstimateInputFilingStatusCell)
)</f>
        <v>0</v>
      </c>
    </row>
    <row r="58" spans="6:11">
      <c r="F58" s="6" t="s">
        <v>137</v>
      </c>
      <c r="G58" s="7">
        <v>2024</v>
      </c>
      <c r="H58" s="6">
        <v>6.2E-2</v>
      </c>
      <c r="I58" s="28">
        <v>168600</v>
      </c>
      <c r="J58" s="2">
        <v>0</v>
      </c>
      <c r="K58" t="b">
        <f xml:space="preserve"> AND(
    (SocialSecurityTaxRateTable[[#This Row],[Tax Year]] = EstimateInputTaxYearCell),
    (SocialSecurityTaxRateTable[[#This Row],[Status LabelId]] = EstimateInputFilingStatusCell)
)</f>
        <v>0</v>
      </c>
    </row>
    <row r="59" spans="6:11">
      <c r="F59" s="6"/>
      <c r="G59" s="7"/>
      <c r="H59" s="6"/>
      <c r="I59" s="28"/>
      <c r="J59" s="2"/>
      <c r="K59" t="b">
        <f xml:space="preserve"> AND(
    (SocialSecurityTaxRateTable[[#This Row],[Tax Year]] = EstimateInputTaxYearCell),
    (SocialSecurityTaxRateTable[[#This Row],[Status LabelId]] = EstimateInputFilingStatusCell)
)</f>
        <v>0</v>
      </c>
    </row>
    <row r="60" spans="6:11">
      <c r="F60" s="6" t="s">
        <v>18</v>
      </c>
      <c r="G60" s="7">
        <v>2025</v>
      </c>
      <c r="H60" s="6">
        <v>6.2E-2</v>
      </c>
      <c r="I60" s="28">
        <v>176100</v>
      </c>
      <c r="J60" s="2">
        <v>0</v>
      </c>
      <c r="K60" t="b">
        <f xml:space="preserve"> AND(
    (SocialSecurityTaxRateTable[[#This Row],[Tax Year]] = EstimateInputTaxYearCell),
    (SocialSecurityTaxRateTable[[#This Row],[Status LabelId]] = EstimateInputFilingStatusCell)
)</f>
        <v>1</v>
      </c>
    </row>
    <row r="61" spans="6:11">
      <c r="F61" s="6" t="s">
        <v>134</v>
      </c>
      <c r="G61" s="7">
        <v>2025</v>
      </c>
      <c r="H61" s="6">
        <v>6.2E-2</v>
      </c>
      <c r="I61" s="28">
        <v>176100</v>
      </c>
      <c r="J61" s="2">
        <v>0</v>
      </c>
      <c r="K61" t="b">
        <f xml:space="preserve"> AND(
    (SocialSecurityTaxRateTable[[#This Row],[Tax Year]] = EstimateInputTaxYearCell),
    (SocialSecurityTaxRateTable[[#This Row],[Status LabelId]] = EstimateInputFilingStatusCell)
)</f>
        <v>0</v>
      </c>
    </row>
    <row r="62" spans="6:11">
      <c r="F62" s="6" t="s">
        <v>136</v>
      </c>
      <c r="G62" s="7">
        <v>2025</v>
      </c>
      <c r="H62" s="6">
        <v>6.2E-2</v>
      </c>
      <c r="I62" s="28">
        <v>176100</v>
      </c>
      <c r="J62" s="2">
        <v>0</v>
      </c>
      <c r="K62" t="b">
        <f xml:space="preserve"> AND(
    (SocialSecurityTaxRateTable[[#This Row],[Tax Year]] = EstimateInputTaxYearCell),
    (SocialSecurityTaxRateTable[[#This Row],[Status LabelId]] = EstimateInputFilingStatusCell)
)</f>
        <v>0</v>
      </c>
    </row>
    <row r="63" spans="6:11">
      <c r="F63" s="6" t="s">
        <v>137</v>
      </c>
      <c r="G63" s="7">
        <v>2025</v>
      </c>
      <c r="H63" s="6">
        <v>6.2E-2</v>
      </c>
      <c r="I63" s="28">
        <v>176100</v>
      </c>
      <c r="J63" s="2">
        <v>0</v>
      </c>
      <c r="K63" t="b">
        <f xml:space="preserve"> AND(
    (SocialSecurityTaxRateTable[[#This Row],[Tax Year]] = EstimateInputTaxYearCell),
    (SocialSecurityTaxRateTable[[#This Row],[Status LabelId]] = EstimateInputFilingStatusCell)
)</f>
        <v>0</v>
      </c>
    </row>
    <row r="67" spans="6:9">
      <c r="F67" s="27" t="str">
        <f ca="1">_xlfn.LET(
    _xlpm.HandleFormulaText, _xlfn.FORMULATEXT(H67),
    MID(_xlpm.HandleFormulaText, 2, FIND("[", _xlpm.HandleFormulaText) - 2)
)</f>
        <v>StandardDeductionAmountTable</v>
      </c>
      <c r="G67" s="13" t="s">
        <v>123</v>
      </c>
      <c r="H67" s="14" t="str">
        <f>StandardDeductionAmountTable[[#Headers],[Standard 
Deduction Amount]]</f>
        <v>Standard 
Deduction Amount</v>
      </c>
    </row>
    <row r="68" spans="6:9">
      <c r="I68" s="16" t="str">
        <f xml:space="preserve"> _xlfn.LET(
    _xlpm.CountSelected, COUNTIF(StandardDeductionAmountTable[IsSelected], TRUE),
    IF( _xlpm.CountSelected = 1, SelectionValidLabelCell, "Error: " &amp; _xlpm.CountSelected &amp; " rows selected")
)</f>
        <v>Valid</v>
      </c>
    </row>
    <row r="69" spans="6:9" ht="27.6">
      <c r="F69" s="44" t="s">
        <v>143</v>
      </c>
      <c r="G69" s="44" t="s">
        <v>138</v>
      </c>
      <c r="H69" s="45" t="s">
        <v>148</v>
      </c>
      <c r="I69" s="44" t="s">
        <v>129</v>
      </c>
    </row>
    <row r="70" spans="6:9">
      <c r="F70" s="6" t="s">
        <v>18</v>
      </c>
      <c r="G70" s="7">
        <v>2024</v>
      </c>
      <c r="H70" s="28">
        <v>14600</v>
      </c>
      <c r="I70" t="b">
        <f xml:space="preserve"> AND(
    (StandardDeductionAmountTable[[#This Row],[Tax Year]] = EstimateInputTaxYearCell),
    (StandardDeductionAmountTable[[#This Row],[Status LabelId]] = EstimateInputFilingStatusCell)
)</f>
        <v>0</v>
      </c>
    </row>
    <row r="71" spans="6:9">
      <c r="F71" s="6" t="s">
        <v>134</v>
      </c>
      <c r="G71" s="7">
        <v>2024</v>
      </c>
      <c r="H71" s="28">
        <v>29200</v>
      </c>
      <c r="I71" t="b">
        <f xml:space="preserve"> AND(
    (StandardDeductionAmountTable[[#This Row],[Tax Year]] = EstimateInputTaxYearCell),
    (StandardDeductionAmountTable[[#This Row],[Status LabelId]] = EstimateInputFilingStatusCell)
)</f>
        <v>0</v>
      </c>
    </row>
    <row r="72" spans="6:9">
      <c r="F72" s="6" t="s">
        <v>136</v>
      </c>
      <c r="G72" s="7">
        <v>2024</v>
      </c>
      <c r="H72" s="28">
        <v>14600</v>
      </c>
      <c r="I72" t="b">
        <f xml:space="preserve"> AND(
    (StandardDeductionAmountTable[[#This Row],[Tax Year]] = EstimateInputTaxYearCell),
    (StandardDeductionAmountTable[[#This Row],[Status LabelId]] = EstimateInputFilingStatusCell)
)</f>
        <v>0</v>
      </c>
    </row>
    <row r="73" spans="6:9">
      <c r="F73" s="6" t="s">
        <v>137</v>
      </c>
      <c r="G73" s="7">
        <v>2024</v>
      </c>
      <c r="H73" s="28">
        <v>21900</v>
      </c>
      <c r="I73" t="b">
        <f xml:space="preserve"> AND(
    (StandardDeductionAmountTable[[#This Row],[Tax Year]] = EstimateInputTaxYearCell),
    (StandardDeductionAmountTable[[#This Row],[Status LabelId]] = EstimateInputFilingStatusCell)
)</f>
        <v>0</v>
      </c>
    </row>
    <row r="74" spans="6:9">
      <c r="F74" s="6"/>
      <c r="G74" s="7"/>
      <c r="H74" s="28"/>
      <c r="I74" t="b">
        <f xml:space="preserve"> AND(
    (StandardDeductionAmountTable[[#This Row],[Tax Year]] = EstimateInputTaxYearCell),
    (StandardDeductionAmountTable[[#This Row],[Status LabelId]] = EstimateInputFilingStatusCell)
)</f>
        <v>0</v>
      </c>
    </row>
    <row r="75" spans="6:9">
      <c r="F75" s="6" t="s">
        <v>18</v>
      </c>
      <c r="G75" s="7">
        <v>2025</v>
      </c>
      <c r="H75" s="28">
        <v>15000</v>
      </c>
      <c r="I75" t="b">
        <f xml:space="preserve"> AND(
    (StandardDeductionAmountTable[[#This Row],[Tax Year]] = EstimateInputTaxYearCell),
    (StandardDeductionAmountTable[[#This Row],[Status LabelId]] = EstimateInputFilingStatusCell)
)</f>
        <v>1</v>
      </c>
    </row>
    <row r="76" spans="6:9">
      <c r="F76" s="6" t="s">
        <v>134</v>
      </c>
      <c r="G76" s="7">
        <v>2025</v>
      </c>
      <c r="H76" s="28">
        <v>30000</v>
      </c>
      <c r="I76" t="b">
        <f xml:space="preserve"> AND(
    (StandardDeductionAmountTable[[#This Row],[Tax Year]] = EstimateInputTaxYearCell),
    (StandardDeductionAmountTable[[#This Row],[Status LabelId]] = EstimateInputFilingStatusCell)
)</f>
        <v>0</v>
      </c>
    </row>
    <row r="77" spans="6:9">
      <c r="F77" s="6" t="s">
        <v>136</v>
      </c>
      <c r="G77" s="7">
        <v>2025</v>
      </c>
      <c r="H77" s="28">
        <v>15000</v>
      </c>
      <c r="I77" t="b">
        <f xml:space="preserve"> AND(
    (StandardDeductionAmountTable[[#This Row],[Tax Year]] = EstimateInputTaxYearCell),
    (StandardDeductionAmountTable[[#This Row],[Status LabelId]] = EstimateInputFilingStatusCell)
)</f>
        <v>0</v>
      </c>
    </row>
    <row r="78" spans="6:9">
      <c r="F78" s="6" t="s">
        <v>137</v>
      </c>
      <c r="G78" s="7">
        <v>2025</v>
      </c>
      <c r="H78" s="28">
        <v>22500</v>
      </c>
      <c r="I78" t="b">
        <f xml:space="preserve"> AND(
    (StandardDeductionAmountTable[[#This Row],[Tax Year]] = EstimateInputTaxYearCell),
    (StandardDeductionAmountTable[[#This Row],[Status LabelId]] = EstimateInputFilingStatusCell)
)</f>
        <v>0</v>
      </c>
    </row>
    <row r="82" spans="6:12">
      <c r="F82" s="27" t="str">
        <f ca="1">_xlfn.LET(
    _xlpm.HandleFormulaText, _xlfn.FORMULATEXT(H82),
    MID(_xlpm.HandleFormulaText, 2, FIND("[", _xlpm.HandleFormulaText) - 2)
)</f>
        <v>FederalIncomeTaxRateTable</v>
      </c>
      <c r="G82" s="13" t="s">
        <v>123</v>
      </c>
      <c r="H82" s="14" t="str">
        <f>FederalIncomeTaxRateTable[[#Headers],[Federal Tax Rate]]</f>
        <v>Federal Tax Rate</v>
      </c>
    </row>
    <row r="83" spans="6:12">
      <c r="L83" s="16" t="str">
        <f xml:space="preserve"> _xlfn.LET(
    _xlpm.CountSelected, COUNTIF(FederalIncomeTaxRateTable[IsSelected], TRUE),
    IF( _xlpm.CountSelected = 1, SelectionValidLabelCell, "Error: " &amp; _xlpm.CountSelected &amp; " rows selected")
)</f>
        <v>Valid</v>
      </c>
    </row>
    <row r="84" spans="6:12">
      <c r="F84" s="24" t="s">
        <v>143</v>
      </c>
      <c r="G84" s="24" t="s">
        <v>138</v>
      </c>
      <c r="H84" s="24" t="s">
        <v>149</v>
      </c>
      <c r="I84" s="24" t="s">
        <v>140</v>
      </c>
      <c r="J84" s="24" t="s">
        <v>141</v>
      </c>
      <c r="K84" s="24" t="s">
        <v>142</v>
      </c>
      <c r="L84" s="24" t="s">
        <v>129</v>
      </c>
    </row>
    <row r="85" spans="6:12">
      <c r="F85" s="6" t="s">
        <v>18</v>
      </c>
      <c r="G85" s="7">
        <v>2024</v>
      </c>
      <c r="H85" s="6">
        <v>0.1</v>
      </c>
      <c r="I85" s="28">
        <v>0</v>
      </c>
      <c r="J85" s="28">
        <v>11600</v>
      </c>
      <c r="K85" s="2">
        <v>0</v>
      </c>
      <c r="L85"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86" spans="6:12">
      <c r="F86" s="6" t="s">
        <v>18</v>
      </c>
      <c r="G86" s="7">
        <v>2024</v>
      </c>
      <c r="H86" s="6">
        <v>0.12</v>
      </c>
      <c r="I86" s="28">
        <f t="shared" ref="I86:I91" si="0">$J85</f>
        <v>11600</v>
      </c>
      <c r="J86" s="28">
        <v>47150</v>
      </c>
      <c r="K86" s="2">
        <f xml:space="preserve"> $K85 + ($J85 - $I85) * $H85</f>
        <v>1160</v>
      </c>
      <c r="L86"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87" spans="6:12">
      <c r="F87" s="6" t="s">
        <v>18</v>
      </c>
      <c r="G87" s="7">
        <v>2024</v>
      </c>
      <c r="H87" s="6">
        <v>0.22</v>
      </c>
      <c r="I87" s="28">
        <f t="shared" si="0"/>
        <v>47150</v>
      </c>
      <c r="J87" s="28">
        <v>100525</v>
      </c>
      <c r="K87" s="2">
        <f xml:space="preserve"> $K86 + ($J86 - $I86) * $H86</f>
        <v>5426</v>
      </c>
      <c r="L87"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88" spans="6:12">
      <c r="F88" s="6" t="s">
        <v>18</v>
      </c>
      <c r="G88" s="7">
        <v>2024</v>
      </c>
      <c r="H88" s="6">
        <v>0.24</v>
      </c>
      <c r="I88" s="28">
        <f t="shared" si="0"/>
        <v>100525</v>
      </c>
      <c r="J88" s="28">
        <v>191950</v>
      </c>
      <c r="K88" s="2">
        <f t="shared" ref="K88:K91" si="1" xml:space="preserve"> $K87 + ($J87 - $I87) * $H87</f>
        <v>17168.5</v>
      </c>
      <c r="L88"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89" spans="6:12">
      <c r="F89" s="6" t="s">
        <v>18</v>
      </c>
      <c r="G89" s="7">
        <v>2024</v>
      </c>
      <c r="H89" s="6">
        <v>0.32</v>
      </c>
      <c r="I89" s="28">
        <f t="shared" si="0"/>
        <v>191950</v>
      </c>
      <c r="J89" s="28">
        <v>243725</v>
      </c>
      <c r="K89" s="2">
        <f t="shared" si="1"/>
        <v>39110.5</v>
      </c>
      <c r="L89"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90" spans="6:12">
      <c r="F90" s="6" t="s">
        <v>18</v>
      </c>
      <c r="G90" s="7">
        <v>2024</v>
      </c>
      <c r="H90" s="6">
        <v>0.35</v>
      </c>
      <c r="I90" s="28">
        <f t="shared" si="0"/>
        <v>243725</v>
      </c>
      <c r="J90" s="28">
        <v>609350</v>
      </c>
      <c r="K90" s="2">
        <f t="shared" si="1"/>
        <v>55678.5</v>
      </c>
      <c r="L90"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91" spans="6:12">
      <c r="F91" s="6" t="s">
        <v>18</v>
      </c>
      <c r="G91" s="7">
        <v>2024</v>
      </c>
      <c r="H91" s="6">
        <v>0.37</v>
      </c>
      <c r="I91" s="28">
        <f t="shared" si="0"/>
        <v>609350</v>
      </c>
      <c r="J91" s="28">
        <f>MaxIncomeCell</f>
        <v>10000000</v>
      </c>
      <c r="K91" s="2">
        <f t="shared" si="1"/>
        <v>183647.25</v>
      </c>
      <c r="L91"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92" spans="6:12">
      <c r="F92" s="6" t="s">
        <v>134</v>
      </c>
      <c r="G92" s="7">
        <v>2024</v>
      </c>
      <c r="H92" s="6">
        <v>0.1</v>
      </c>
      <c r="I92" s="28">
        <v>0</v>
      </c>
      <c r="J92" s="28">
        <v>23200</v>
      </c>
      <c r="K92" s="2">
        <v>0</v>
      </c>
      <c r="L92"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93" spans="6:12">
      <c r="F93" s="6" t="s">
        <v>134</v>
      </c>
      <c r="G93" s="7">
        <v>2024</v>
      </c>
      <c r="H93" s="6">
        <v>0.12</v>
      </c>
      <c r="I93" s="28">
        <f t="shared" ref="I93:I98" si="2">$J92</f>
        <v>23200</v>
      </c>
      <c r="J93" s="28">
        <v>94300</v>
      </c>
      <c r="K93" s="2">
        <f xml:space="preserve"> $K92 + ($J92 - $I92) * $H92</f>
        <v>2320</v>
      </c>
      <c r="L93"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94" spans="6:12">
      <c r="F94" s="6" t="s">
        <v>134</v>
      </c>
      <c r="G94" s="7">
        <v>2024</v>
      </c>
      <c r="H94" s="6">
        <v>0.22</v>
      </c>
      <c r="I94" s="28">
        <f t="shared" si="2"/>
        <v>94300</v>
      </c>
      <c r="J94" s="28">
        <v>201050</v>
      </c>
      <c r="K94" s="2">
        <f xml:space="preserve"> $K93 + ($J93 - $I93) * $H93</f>
        <v>10852</v>
      </c>
      <c r="L94"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95" spans="6:12">
      <c r="F95" s="6" t="s">
        <v>134</v>
      </c>
      <c r="G95" s="7">
        <v>2024</v>
      </c>
      <c r="H95" s="6">
        <v>0.24</v>
      </c>
      <c r="I95" s="28">
        <f t="shared" si="2"/>
        <v>201050</v>
      </c>
      <c r="J95" s="28">
        <v>383900</v>
      </c>
      <c r="K95" s="2">
        <f t="shared" ref="K95:K98" si="3" xml:space="preserve"> $K94 + ($J94 - $I94) * $H94</f>
        <v>34337</v>
      </c>
      <c r="L95"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96" spans="6:12">
      <c r="F96" s="6" t="s">
        <v>134</v>
      </c>
      <c r="G96" s="7">
        <v>2024</v>
      </c>
      <c r="H96" s="6">
        <v>0.32</v>
      </c>
      <c r="I96" s="28">
        <f t="shared" si="2"/>
        <v>383900</v>
      </c>
      <c r="J96" s="28">
        <v>487450</v>
      </c>
      <c r="K96" s="2">
        <f t="shared" si="3"/>
        <v>78221</v>
      </c>
      <c r="L96"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97" spans="6:12">
      <c r="F97" s="6" t="s">
        <v>134</v>
      </c>
      <c r="G97" s="7">
        <v>2024</v>
      </c>
      <c r="H97" s="6">
        <v>0.35</v>
      </c>
      <c r="I97" s="28">
        <f t="shared" si="2"/>
        <v>487450</v>
      </c>
      <c r="J97" s="28">
        <v>731200</v>
      </c>
      <c r="K97" s="2">
        <f t="shared" si="3"/>
        <v>111357</v>
      </c>
      <c r="L97"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98" spans="6:12">
      <c r="F98" s="6" t="s">
        <v>134</v>
      </c>
      <c r="G98" s="7">
        <v>2024</v>
      </c>
      <c r="H98" s="6">
        <v>0.37</v>
      </c>
      <c r="I98" s="28">
        <f t="shared" si="2"/>
        <v>731200</v>
      </c>
      <c r="J98" s="28">
        <f>MaxIncomeCell</f>
        <v>10000000</v>
      </c>
      <c r="K98" s="2">
        <f t="shared" si="3"/>
        <v>196669.5</v>
      </c>
      <c r="L98"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99" spans="6:12">
      <c r="F99" s="6" t="s">
        <v>136</v>
      </c>
      <c r="G99" s="7">
        <v>2024</v>
      </c>
      <c r="H99" s="6">
        <v>0.1</v>
      </c>
      <c r="I99" s="28">
        <v>0</v>
      </c>
      <c r="J99" s="28">
        <v>11600</v>
      </c>
      <c r="K99" s="2">
        <v>0</v>
      </c>
      <c r="L99"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00" spans="6:12">
      <c r="F100" s="6" t="s">
        <v>136</v>
      </c>
      <c r="G100" s="7">
        <v>2024</v>
      </c>
      <c r="H100" s="6">
        <v>0.12</v>
      </c>
      <c r="I100" s="28">
        <f t="shared" ref="I100:I105" si="4">$J99</f>
        <v>11600</v>
      </c>
      <c r="J100" s="28">
        <v>47150</v>
      </c>
      <c r="K100" s="2">
        <f xml:space="preserve"> $K99 + ($J99 - $I99) * $H99</f>
        <v>1160</v>
      </c>
      <c r="L100"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01" spans="6:12">
      <c r="F101" s="6" t="s">
        <v>136</v>
      </c>
      <c r="G101" s="7">
        <v>2024</v>
      </c>
      <c r="H101" s="6">
        <v>0.22</v>
      </c>
      <c r="I101" s="28">
        <f t="shared" si="4"/>
        <v>47150</v>
      </c>
      <c r="J101" s="28">
        <v>100525</v>
      </c>
      <c r="K101" s="2">
        <f xml:space="preserve"> $K100 + ($J100 - $I100) * $H100</f>
        <v>5426</v>
      </c>
      <c r="L101"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02" spans="6:12">
      <c r="F102" s="6" t="s">
        <v>136</v>
      </c>
      <c r="G102" s="7">
        <v>2024</v>
      </c>
      <c r="H102" s="6">
        <v>0.24</v>
      </c>
      <c r="I102" s="28">
        <f t="shared" si="4"/>
        <v>100525</v>
      </c>
      <c r="J102" s="28">
        <v>191950</v>
      </c>
      <c r="K102" s="2">
        <f t="shared" ref="K102:K105" si="5" xml:space="preserve"> $K101 + ($J101 - $I101) * $H101</f>
        <v>17168.5</v>
      </c>
      <c r="L102"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03" spans="6:12">
      <c r="F103" s="6" t="s">
        <v>136</v>
      </c>
      <c r="G103" s="7">
        <v>2024</v>
      </c>
      <c r="H103" s="6">
        <v>0.32</v>
      </c>
      <c r="I103" s="28">
        <f t="shared" si="4"/>
        <v>191950</v>
      </c>
      <c r="J103" s="28">
        <v>243725</v>
      </c>
      <c r="K103" s="2">
        <f t="shared" si="5"/>
        <v>39110.5</v>
      </c>
      <c r="L103"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04" spans="6:12">
      <c r="F104" s="6" t="s">
        <v>136</v>
      </c>
      <c r="G104" s="7">
        <v>2024</v>
      </c>
      <c r="H104" s="6">
        <v>0.35</v>
      </c>
      <c r="I104" s="28">
        <f t="shared" si="4"/>
        <v>243725</v>
      </c>
      <c r="J104" s="28">
        <v>365600</v>
      </c>
      <c r="K104" s="2">
        <f t="shared" si="5"/>
        <v>55678.5</v>
      </c>
      <c r="L104"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05" spans="6:12">
      <c r="F105" s="6" t="s">
        <v>136</v>
      </c>
      <c r="G105" s="7">
        <v>2024</v>
      </c>
      <c r="H105" s="6">
        <v>0.37</v>
      </c>
      <c r="I105" s="28">
        <f t="shared" si="4"/>
        <v>365600</v>
      </c>
      <c r="J105" s="28">
        <f>MaxIncomeCell</f>
        <v>10000000</v>
      </c>
      <c r="K105" s="2">
        <f t="shared" si="5"/>
        <v>98334.75</v>
      </c>
      <c r="L105"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06" spans="6:12">
      <c r="F106" s="6" t="s">
        <v>137</v>
      </c>
      <c r="G106" s="7">
        <v>2024</v>
      </c>
      <c r="H106" s="6">
        <v>0.1</v>
      </c>
      <c r="I106" s="28">
        <v>0</v>
      </c>
      <c r="J106" s="28">
        <v>16550</v>
      </c>
      <c r="K106" s="2">
        <v>0</v>
      </c>
      <c r="L106"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07" spans="6:12">
      <c r="F107" s="6" t="s">
        <v>137</v>
      </c>
      <c r="G107" s="7">
        <v>2024</v>
      </c>
      <c r="H107" s="6">
        <v>0.12</v>
      </c>
      <c r="I107" s="28">
        <f t="shared" ref="I107:I112" si="6">$J106</f>
        <v>16550</v>
      </c>
      <c r="J107" s="28">
        <v>63100</v>
      </c>
      <c r="K107" s="2">
        <f xml:space="preserve"> $K106 + ($J106 - $I106) * $H106</f>
        <v>1655</v>
      </c>
      <c r="L107"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08" spans="6:12">
      <c r="F108" s="6" t="s">
        <v>137</v>
      </c>
      <c r="G108" s="7">
        <v>2024</v>
      </c>
      <c r="H108" s="6">
        <v>0.22</v>
      </c>
      <c r="I108" s="28">
        <f t="shared" si="6"/>
        <v>63100</v>
      </c>
      <c r="J108" s="28">
        <v>100500</v>
      </c>
      <c r="K108" s="2">
        <f xml:space="preserve"> $K107 + ($J107 - $I107) * $H107</f>
        <v>7241</v>
      </c>
      <c r="L108"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09" spans="6:12">
      <c r="F109" s="6" t="s">
        <v>137</v>
      </c>
      <c r="G109" s="7">
        <v>2024</v>
      </c>
      <c r="H109" s="6">
        <v>0.24</v>
      </c>
      <c r="I109" s="28">
        <f t="shared" si="6"/>
        <v>100500</v>
      </c>
      <c r="J109" s="28">
        <v>191950</v>
      </c>
      <c r="K109" s="2">
        <f t="shared" ref="K109:K112" si="7" xml:space="preserve"> $K108 + ($J108 - $I108) * $H108</f>
        <v>15469</v>
      </c>
      <c r="L109"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10" spans="6:12">
      <c r="F110" s="6" t="s">
        <v>137</v>
      </c>
      <c r="G110" s="7">
        <v>2024</v>
      </c>
      <c r="H110" s="6">
        <v>0.32</v>
      </c>
      <c r="I110" s="28">
        <f t="shared" si="6"/>
        <v>191950</v>
      </c>
      <c r="J110" s="28">
        <v>243700</v>
      </c>
      <c r="K110" s="2">
        <f t="shared" si="7"/>
        <v>37417</v>
      </c>
      <c r="L110"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11" spans="6:12">
      <c r="F111" s="6" t="s">
        <v>137</v>
      </c>
      <c r="G111" s="7">
        <v>2024</v>
      </c>
      <c r="H111" s="6">
        <v>0.35</v>
      </c>
      <c r="I111" s="28">
        <f t="shared" si="6"/>
        <v>243700</v>
      </c>
      <c r="J111" s="28">
        <v>609350</v>
      </c>
      <c r="K111" s="2">
        <f t="shared" si="7"/>
        <v>53977</v>
      </c>
      <c r="L111"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12" spans="6:12">
      <c r="F112" s="6" t="s">
        <v>137</v>
      </c>
      <c r="G112" s="7">
        <v>2024</v>
      </c>
      <c r="H112" s="6">
        <v>0.37</v>
      </c>
      <c r="I112" s="28">
        <f t="shared" si="6"/>
        <v>609350</v>
      </c>
      <c r="J112" s="28">
        <f>MaxIncomeCell</f>
        <v>10000000</v>
      </c>
      <c r="K112" s="2">
        <f t="shared" si="7"/>
        <v>181954.5</v>
      </c>
      <c r="L112"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13" spans="6:12">
      <c r="F113" s="6"/>
      <c r="G113" s="7"/>
      <c r="I113" s="28"/>
      <c r="J113" s="28"/>
      <c r="K113" s="2"/>
      <c r="L113"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14" spans="6:12">
      <c r="F114" s="6" t="s">
        <v>18</v>
      </c>
      <c r="G114" s="7">
        <v>2025</v>
      </c>
      <c r="H114" s="6">
        <v>0.1</v>
      </c>
      <c r="I114" s="28">
        <v>0</v>
      </c>
      <c r="J114" s="28">
        <v>11925</v>
      </c>
      <c r="K114" s="2">
        <v>0</v>
      </c>
      <c r="L114"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15" spans="6:12">
      <c r="F115" s="6" t="s">
        <v>18</v>
      </c>
      <c r="G115" s="7">
        <v>2025</v>
      </c>
      <c r="H115" s="6">
        <v>0.12</v>
      </c>
      <c r="I115" s="28">
        <f t="shared" ref="I115:I120" si="8">$J114</f>
        <v>11925</v>
      </c>
      <c r="J115" s="28">
        <v>48475</v>
      </c>
      <c r="K115" s="2">
        <f xml:space="preserve"> $K114 + ($J114 - $I114) * $H114</f>
        <v>1192.5</v>
      </c>
      <c r="L115"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16" spans="6:12">
      <c r="F116" s="6" t="s">
        <v>18</v>
      </c>
      <c r="G116" s="7">
        <v>2025</v>
      </c>
      <c r="H116" s="6">
        <v>0.22</v>
      </c>
      <c r="I116" s="28">
        <f t="shared" si="8"/>
        <v>48475</v>
      </c>
      <c r="J116" s="28">
        <v>103350</v>
      </c>
      <c r="K116" s="2">
        <f xml:space="preserve"> $K115 + ($J115 - $I115) * $H115</f>
        <v>5578.5</v>
      </c>
      <c r="L116"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1</v>
      </c>
    </row>
    <row r="117" spans="6:12">
      <c r="F117" s="6" t="s">
        <v>18</v>
      </c>
      <c r="G117" s="7">
        <v>2025</v>
      </c>
      <c r="H117" s="6">
        <v>0.24</v>
      </c>
      <c r="I117" s="28">
        <f t="shared" si="8"/>
        <v>103350</v>
      </c>
      <c r="J117" s="28">
        <v>197300</v>
      </c>
      <c r="K117" s="2">
        <f t="shared" ref="K117:K120" si="9" xml:space="preserve"> $K116 + ($J116 - $I116) * $H116</f>
        <v>17651</v>
      </c>
      <c r="L117"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18" spans="6:12">
      <c r="F118" s="6" t="s">
        <v>18</v>
      </c>
      <c r="G118" s="7">
        <v>2025</v>
      </c>
      <c r="H118" s="6">
        <v>0.32</v>
      </c>
      <c r="I118" s="28">
        <f t="shared" si="8"/>
        <v>197300</v>
      </c>
      <c r="J118" s="28">
        <v>250525</v>
      </c>
      <c r="K118" s="2">
        <f t="shared" si="9"/>
        <v>40199</v>
      </c>
      <c r="L118"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19" spans="6:12">
      <c r="F119" s="6" t="s">
        <v>18</v>
      </c>
      <c r="G119" s="7">
        <v>2025</v>
      </c>
      <c r="H119" s="6">
        <v>0.35</v>
      </c>
      <c r="I119" s="28">
        <f t="shared" si="8"/>
        <v>250525</v>
      </c>
      <c r="J119" s="28">
        <v>626350</v>
      </c>
      <c r="K119" s="2">
        <f t="shared" si="9"/>
        <v>57231</v>
      </c>
      <c r="L119"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20" spans="6:12">
      <c r="F120" s="6" t="s">
        <v>18</v>
      </c>
      <c r="G120" s="7">
        <v>2025</v>
      </c>
      <c r="H120" s="6">
        <v>0.37</v>
      </c>
      <c r="I120" s="28">
        <f t="shared" si="8"/>
        <v>626350</v>
      </c>
      <c r="J120" s="28">
        <f>MaxIncomeCell</f>
        <v>10000000</v>
      </c>
      <c r="K120" s="2">
        <f t="shared" si="9"/>
        <v>188769.75</v>
      </c>
      <c r="L120"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21" spans="6:12">
      <c r="F121" s="6" t="s">
        <v>134</v>
      </c>
      <c r="G121" s="7">
        <v>2025</v>
      </c>
      <c r="H121" s="6">
        <v>0.1</v>
      </c>
      <c r="I121" s="28">
        <v>0</v>
      </c>
      <c r="J121" s="28">
        <v>23850</v>
      </c>
      <c r="K121" s="2">
        <v>0</v>
      </c>
      <c r="L121"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22" spans="6:12">
      <c r="F122" s="6" t="s">
        <v>134</v>
      </c>
      <c r="G122" s="7">
        <v>2025</v>
      </c>
      <c r="H122" s="6">
        <v>0.12</v>
      </c>
      <c r="I122" s="28">
        <f t="shared" ref="I122:I127" si="10">$J121</f>
        <v>23850</v>
      </c>
      <c r="J122" s="28">
        <v>96950</v>
      </c>
      <c r="K122" s="2">
        <f xml:space="preserve"> $K121 + ($J121 - $I121) * $H121</f>
        <v>2385</v>
      </c>
      <c r="L122"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23" spans="6:12">
      <c r="F123" s="6" t="s">
        <v>134</v>
      </c>
      <c r="G123" s="7">
        <v>2025</v>
      </c>
      <c r="H123" s="6">
        <v>0.22</v>
      </c>
      <c r="I123" s="28">
        <f t="shared" si="10"/>
        <v>96950</v>
      </c>
      <c r="J123" s="28">
        <v>206700</v>
      </c>
      <c r="K123" s="2">
        <f xml:space="preserve"> $K122 + ($J122 - $I122) * $H122</f>
        <v>11157</v>
      </c>
      <c r="L123"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24" spans="6:12">
      <c r="F124" s="6" t="s">
        <v>134</v>
      </c>
      <c r="G124" s="7">
        <v>2025</v>
      </c>
      <c r="H124" s="6">
        <v>0.24</v>
      </c>
      <c r="I124" s="28">
        <f t="shared" si="10"/>
        <v>206700</v>
      </c>
      <c r="J124" s="28">
        <v>394600</v>
      </c>
      <c r="K124" s="2">
        <f t="shared" ref="K124:K127" si="11" xml:space="preserve"> $K123 + ($J123 - $I123) * $H123</f>
        <v>35302</v>
      </c>
      <c r="L124"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25" spans="6:12">
      <c r="F125" s="6" t="s">
        <v>134</v>
      </c>
      <c r="G125" s="7">
        <v>2025</v>
      </c>
      <c r="H125" s="6">
        <v>0.32</v>
      </c>
      <c r="I125" s="28">
        <f t="shared" si="10"/>
        <v>394600</v>
      </c>
      <c r="J125" s="28">
        <v>501050</v>
      </c>
      <c r="K125" s="2">
        <f t="shared" si="11"/>
        <v>80398</v>
      </c>
      <c r="L125"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26" spans="6:12">
      <c r="F126" s="6" t="s">
        <v>134</v>
      </c>
      <c r="G126" s="7">
        <v>2025</v>
      </c>
      <c r="H126" s="6">
        <v>0.35</v>
      </c>
      <c r="I126" s="28">
        <f t="shared" si="10"/>
        <v>501050</v>
      </c>
      <c r="J126" s="28">
        <v>751600</v>
      </c>
      <c r="K126" s="2">
        <f t="shared" si="11"/>
        <v>114462</v>
      </c>
      <c r="L126"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27" spans="6:12">
      <c r="F127" s="6" t="s">
        <v>134</v>
      </c>
      <c r="G127" s="7">
        <v>2025</v>
      </c>
      <c r="H127" s="6">
        <v>0.37</v>
      </c>
      <c r="I127" s="28">
        <f t="shared" si="10"/>
        <v>751600</v>
      </c>
      <c r="J127" s="28">
        <f>MaxIncomeCell</f>
        <v>10000000</v>
      </c>
      <c r="K127" s="2">
        <f t="shared" si="11"/>
        <v>202154.5</v>
      </c>
      <c r="L127"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28" spans="6:12">
      <c r="F128" s="6" t="s">
        <v>136</v>
      </c>
      <c r="G128" s="7">
        <v>2025</v>
      </c>
      <c r="H128" s="6">
        <v>0.1</v>
      </c>
      <c r="I128" s="28">
        <v>0</v>
      </c>
      <c r="J128" s="28">
        <v>11925</v>
      </c>
      <c r="K128" s="2">
        <v>0</v>
      </c>
      <c r="L128"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29" spans="6:12">
      <c r="F129" s="6" t="s">
        <v>136</v>
      </c>
      <c r="G129" s="7">
        <v>2025</v>
      </c>
      <c r="H129" s="6">
        <v>0.12</v>
      </c>
      <c r="I129" s="28">
        <f t="shared" ref="I129:I134" si="12">$J128</f>
        <v>11925</v>
      </c>
      <c r="J129" s="28">
        <v>48475</v>
      </c>
      <c r="K129" s="2">
        <f xml:space="preserve"> $K128 + ($J128 - $I128) * $H128</f>
        <v>1192.5</v>
      </c>
      <c r="L129"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30" spans="6:12">
      <c r="F130" s="6" t="s">
        <v>136</v>
      </c>
      <c r="G130" s="7">
        <v>2025</v>
      </c>
      <c r="H130" s="6">
        <v>0.22</v>
      </c>
      <c r="I130" s="28">
        <f t="shared" si="12"/>
        <v>48475</v>
      </c>
      <c r="J130" s="28">
        <v>103350</v>
      </c>
      <c r="K130" s="2">
        <f xml:space="preserve"> $K129 + ($J129 - $I129) * $H129</f>
        <v>5578.5</v>
      </c>
      <c r="L130"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31" spans="6:12">
      <c r="F131" s="6" t="s">
        <v>136</v>
      </c>
      <c r="G131" s="7">
        <v>2025</v>
      </c>
      <c r="H131" s="6">
        <v>0.24</v>
      </c>
      <c r="I131" s="28">
        <f t="shared" si="12"/>
        <v>103350</v>
      </c>
      <c r="J131" s="28">
        <v>197300</v>
      </c>
      <c r="K131" s="2">
        <f t="shared" ref="K131:K134" si="13" xml:space="preserve"> $K130 + ($J130 - $I130) * $H130</f>
        <v>17651</v>
      </c>
      <c r="L131"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32" spans="6:12">
      <c r="F132" s="6" t="s">
        <v>136</v>
      </c>
      <c r="G132" s="7">
        <v>2025</v>
      </c>
      <c r="H132" s="6">
        <v>0.32</v>
      </c>
      <c r="I132" s="28">
        <f t="shared" si="12"/>
        <v>197300</v>
      </c>
      <c r="J132" s="28">
        <v>250525</v>
      </c>
      <c r="K132" s="2">
        <f t="shared" si="13"/>
        <v>40199</v>
      </c>
      <c r="L132"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33" spans="6:12">
      <c r="F133" s="6" t="s">
        <v>136</v>
      </c>
      <c r="G133" s="7">
        <v>2025</v>
      </c>
      <c r="H133" s="6">
        <v>0.35</v>
      </c>
      <c r="I133" s="28">
        <f t="shared" si="12"/>
        <v>250525</v>
      </c>
      <c r="J133" s="28">
        <v>375800</v>
      </c>
      <c r="K133" s="2">
        <f t="shared" si="13"/>
        <v>57231</v>
      </c>
      <c r="L133"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34" spans="6:12">
      <c r="F134" s="6" t="s">
        <v>136</v>
      </c>
      <c r="G134" s="7">
        <v>2025</v>
      </c>
      <c r="H134" s="6">
        <v>0.37</v>
      </c>
      <c r="I134" s="28">
        <f t="shared" si="12"/>
        <v>375800</v>
      </c>
      <c r="J134" s="28">
        <f>MaxIncomeCell</f>
        <v>10000000</v>
      </c>
      <c r="K134" s="2">
        <f t="shared" si="13"/>
        <v>101077.25</v>
      </c>
      <c r="L134"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35" spans="6:12">
      <c r="F135" s="6" t="s">
        <v>137</v>
      </c>
      <c r="G135" s="7">
        <v>2025</v>
      </c>
      <c r="H135" s="6">
        <v>0.1</v>
      </c>
      <c r="I135" s="28">
        <v>0</v>
      </c>
      <c r="J135" s="28">
        <v>17000</v>
      </c>
      <c r="K135" s="2">
        <v>0</v>
      </c>
      <c r="L135"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36" spans="6:12">
      <c r="F136" s="6" t="s">
        <v>137</v>
      </c>
      <c r="G136" s="7">
        <v>2025</v>
      </c>
      <c r="H136" s="6">
        <v>0.12</v>
      </c>
      <c r="I136" s="28">
        <f t="shared" ref="I136:I141" si="14">$J135</f>
        <v>17000</v>
      </c>
      <c r="J136" s="28">
        <v>64850</v>
      </c>
      <c r="K136" s="2">
        <f xml:space="preserve"> $K135 + ($J135 - $I135) * $H135</f>
        <v>1700</v>
      </c>
      <c r="L136"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37" spans="6:12">
      <c r="F137" s="6" t="s">
        <v>137</v>
      </c>
      <c r="G137" s="7">
        <v>2025</v>
      </c>
      <c r="H137" s="6">
        <v>0.22</v>
      </c>
      <c r="I137" s="28">
        <f t="shared" si="14"/>
        <v>64850</v>
      </c>
      <c r="J137" s="28">
        <v>103350</v>
      </c>
      <c r="K137" s="2">
        <f xml:space="preserve"> $K136 + ($J136 - $I136) * $H136</f>
        <v>7442</v>
      </c>
      <c r="L137"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38" spans="6:12">
      <c r="F138" s="6" t="s">
        <v>137</v>
      </c>
      <c r="G138" s="7">
        <v>2025</v>
      </c>
      <c r="H138" s="6">
        <v>0.24</v>
      </c>
      <c r="I138" s="28">
        <f t="shared" si="14"/>
        <v>103350</v>
      </c>
      <c r="J138" s="28">
        <v>197300</v>
      </c>
      <c r="K138" s="2">
        <f t="shared" ref="K138:K141" si="15" xml:space="preserve"> $K137 + ($J137 - $I137) * $H137</f>
        <v>15912</v>
      </c>
      <c r="L138"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39" spans="6:12">
      <c r="F139" s="6" t="s">
        <v>137</v>
      </c>
      <c r="G139" s="7">
        <v>2025</v>
      </c>
      <c r="H139" s="6">
        <v>0.32</v>
      </c>
      <c r="I139" s="28">
        <f t="shared" si="14"/>
        <v>197300</v>
      </c>
      <c r="J139" s="28">
        <v>250500</v>
      </c>
      <c r="K139" s="2">
        <f t="shared" si="15"/>
        <v>38460</v>
      </c>
      <c r="L139"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40" spans="6:12">
      <c r="F140" s="6" t="s">
        <v>137</v>
      </c>
      <c r="G140" s="7">
        <v>2025</v>
      </c>
      <c r="H140" s="6">
        <v>0.35</v>
      </c>
      <c r="I140" s="28">
        <f t="shared" si="14"/>
        <v>250500</v>
      </c>
      <c r="J140" s="28">
        <v>626350</v>
      </c>
      <c r="K140" s="2">
        <f t="shared" si="15"/>
        <v>55484</v>
      </c>
      <c r="L140"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41" spans="6:12">
      <c r="F141" s="6" t="s">
        <v>137</v>
      </c>
      <c r="G141" s="7">
        <v>2025</v>
      </c>
      <c r="H141" s="6">
        <v>0.37</v>
      </c>
      <c r="I141" s="28">
        <f t="shared" si="14"/>
        <v>626350</v>
      </c>
      <c r="J141" s="28">
        <f>MaxIncomeCell</f>
        <v>10000000</v>
      </c>
      <c r="K141" s="2">
        <f t="shared" si="15"/>
        <v>187031.5</v>
      </c>
      <c r="L141" t="b">
        <f xml:space="preserve"> AND(
    (FederalIncomeTaxRateTable[[#This Row],[Tax Year]] = EstimateInputTaxYearCell),
    (FederalIncomeTaxRateTable[[#This Row],[Status LabelId]] = EstimateInputFilingStatusCell),
    (FederalIncomeTaxRateTable[[#This Row],[RangeStart]] &lt; Estimator!$C$84),
    (FederalIncomeTaxRateTable[[#This Row],[RangeEnd]] &gt;= Estimator!$C$84)
)</f>
        <v>0</v>
      </c>
    </row>
    <row r="145" spans="6:10">
      <c r="F145" s="58" t="str">
        <f ca="1">_xlfn.LET(
    _xlpm.HandleFormulaText, _xlfn.FORMULATEXT(H145),
    MID(_xlpm.HandleFormulaText, 2, FIND("[", _xlpm.HandleFormulaText) - 2)
)</f>
        <v>AlternativeMimumumTaxThresholdsTable</v>
      </c>
      <c r="G145" s="13" t="s">
        <v>123</v>
      </c>
      <c r="H145" s="14" t="str">
        <f>AlternativeMimumumTaxThresholdsTable[[#Headers],[AMT Exemption]]</f>
        <v>AMT Exemption</v>
      </c>
    </row>
    <row r="146" spans="6:10">
      <c r="J146" s="16" t="str">
        <f xml:space="preserve"> _xlfn.LET(
    _xlpm.CountSelected, COUNTIF(AlternativeMimumumTaxThresholdsTable[IsSelected], TRUE),
    IF( _xlpm.CountSelected = 1, SelectionValidLabelCell, "Error: " &amp; _xlpm.CountSelected &amp; " rows selected")
)</f>
        <v>Valid</v>
      </c>
    </row>
    <row r="147" spans="6:10">
      <c r="F147" t="s">
        <v>143</v>
      </c>
      <c r="G147" t="s">
        <v>138</v>
      </c>
      <c r="H147" t="s">
        <v>150</v>
      </c>
      <c r="I147" t="s">
        <v>151</v>
      </c>
      <c r="J147" t="s">
        <v>129</v>
      </c>
    </row>
    <row r="148" spans="6:10">
      <c r="F148" s="6" t="s">
        <v>18</v>
      </c>
      <c r="G148" s="7">
        <v>2024</v>
      </c>
      <c r="H148" s="59">
        <v>85700</v>
      </c>
      <c r="I148" s="28">
        <v>609350</v>
      </c>
      <c r="J148" t="b">
        <f xml:space="preserve"> AND(
    (AlternativeMimumumTaxThresholdsTable[[#This Row],[Tax Year]] = EstimateInputTaxYearCell),
    (AlternativeMimumumTaxThresholdsTable[[#This Row],[Status LabelId]] = EstimateInputFilingStatusCell)
)</f>
        <v>0</v>
      </c>
    </row>
    <row r="149" spans="6:10">
      <c r="F149" s="6" t="s">
        <v>134</v>
      </c>
      <c r="G149" s="7">
        <v>2024</v>
      </c>
      <c r="H149" s="59">
        <v>133300</v>
      </c>
      <c r="I149" s="28">
        <v>1218700</v>
      </c>
      <c r="J149" t="b">
        <f xml:space="preserve"> AND(
    (AlternativeMimumumTaxThresholdsTable[[#This Row],[Tax Year]] = EstimateInputTaxYearCell),
    (AlternativeMimumumTaxThresholdsTable[[#This Row],[Status LabelId]] = EstimateInputFilingStatusCell)
)</f>
        <v>0</v>
      </c>
    </row>
    <row r="150" spans="6:10">
      <c r="F150" s="6" t="s">
        <v>136</v>
      </c>
      <c r="G150" s="7">
        <v>2024</v>
      </c>
      <c r="H150" s="59">
        <v>66650</v>
      </c>
      <c r="I150" s="28">
        <v>609350</v>
      </c>
      <c r="J150" t="b">
        <f xml:space="preserve"> AND(
    (AlternativeMimumumTaxThresholdsTable[[#This Row],[Tax Year]] = EstimateInputTaxYearCell),
    (AlternativeMimumumTaxThresholdsTable[[#This Row],[Status LabelId]] = EstimateInputFilingStatusCell)
)</f>
        <v>0</v>
      </c>
    </row>
    <row r="151" spans="6:10">
      <c r="F151" s="6" t="s">
        <v>137</v>
      </c>
      <c r="G151" s="7">
        <v>2024</v>
      </c>
      <c r="H151" s="59">
        <v>85700</v>
      </c>
      <c r="I151" s="28">
        <v>609350</v>
      </c>
      <c r="J151" t="b">
        <f xml:space="preserve"> AND(
    (AlternativeMimumumTaxThresholdsTable[[#This Row],[Tax Year]] = EstimateInputTaxYearCell),
    (AlternativeMimumumTaxThresholdsTable[[#This Row],[Status LabelId]] = EstimateInputFilingStatusCell)
)</f>
        <v>0</v>
      </c>
    </row>
    <row r="152" spans="6:10">
      <c r="F152" s="6"/>
      <c r="G152" s="7"/>
      <c r="H152" s="59"/>
      <c r="I152" s="28"/>
      <c r="J152" t="b">
        <f xml:space="preserve"> AND(
    (AlternativeMimumumTaxThresholdsTable[[#This Row],[Tax Year]] = EstimateInputTaxYearCell),
    (AlternativeMimumumTaxThresholdsTable[[#This Row],[Status LabelId]] = EstimateInputFilingStatusCell)
)</f>
        <v>0</v>
      </c>
    </row>
    <row r="153" spans="6:10">
      <c r="F153" s="6" t="s">
        <v>18</v>
      </c>
      <c r="G153" s="7">
        <v>2025</v>
      </c>
      <c r="H153" s="59">
        <v>88100</v>
      </c>
      <c r="I153" s="28">
        <v>626350</v>
      </c>
      <c r="J153" t="b">
        <f xml:space="preserve"> AND(
    (AlternativeMimumumTaxThresholdsTable[[#This Row],[Tax Year]] = EstimateInputTaxYearCell),
    (AlternativeMimumumTaxThresholdsTable[[#This Row],[Status LabelId]] = EstimateInputFilingStatusCell)
)</f>
        <v>1</v>
      </c>
    </row>
    <row r="154" spans="6:10">
      <c r="F154" s="6" t="s">
        <v>134</v>
      </c>
      <c r="G154" s="7">
        <v>2025</v>
      </c>
      <c r="H154" s="59">
        <v>137000</v>
      </c>
      <c r="I154" s="28">
        <v>1252700</v>
      </c>
      <c r="J154" t="b">
        <f xml:space="preserve"> AND(
    (AlternativeMimumumTaxThresholdsTable[[#This Row],[Tax Year]] = EstimateInputTaxYearCell),
    (AlternativeMimumumTaxThresholdsTable[[#This Row],[Status LabelId]] = EstimateInputFilingStatusCell)
)</f>
        <v>0</v>
      </c>
    </row>
    <row r="155" spans="6:10">
      <c r="F155" s="6" t="s">
        <v>136</v>
      </c>
      <c r="G155" s="7">
        <v>2025</v>
      </c>
      <c r="H155" s="59">
        <v>68500</v>
      </c>
      <c r="I155" s="28">
        <v>626350</v>
      </c>
      <c r="J155" t="b">
        <f xml:space="preserve"> AND(
    (AlternativeMimumumTaxThresholdsTable[[#This Row],[Tax Year]] = EstimateInputTaxYearCell),
    (AlternativeMimumumTaxThresholdsTable[[#This Row],[Status LabelId]] = EstimateInputFilingStatusCell)
)</f>
        <v>0</v>
      </c>
    </row>
    <row r="156" spans="6:10">
      <c r="F156" s="6" t="s">
        <v>137</v>
      </c>
      <c r="G156" s="7">
        <v>2025</v>
      </c>
      <c r="H156" s="59">
        <v>88100</v>
      </c>
      <c r="I156" s="28">
        <v>326350</v>
      </c>
      <c r="J156" t="b">
        <f xml:space="preserve"> AND(
    (AlternativeMimumumTaxThresholdsTable[[#This Row],[Tax Year]] = EstimateInputTaxYearCell),
    (AlternativeMimumumTaxThresholdsTable[[#This Row],[Status LabelId]] = EstimateInputFilingStatusCell)
)</f>
        <v>0</v>
      </c>
    </row>
    <row r="160" spans="6:10">
      <c r="F160" s="27" t="str">
        <f ca="1">_xlfn.LET(
    _xlpm.HandleFormulaText, _xlfn.FORMULATEXT(H160),
    MID(_xlpm.HandleFormulaText, 2, FIND("[", _xlpm.HandleFormulaText) - 2)
)</f>
        <v>AlternativeMinimumTaxRateTable</v>
      </c>
      <c r="G160" s="13" t="s">
        <v>123</v>
      </c>
      <c r="H160" s="14" t="str">
        <f>AlternativeMinimumTaxRateTable[[#Headers],[AMT Rate]]</f>
        <v>AMT Rate</v>
      </c>
    </row>
    <row r="161" spans="6:12">
      <c r="L161" s="16" t="str">
        <f xml:space="preserve"> _xlfn.LET(
    _xlpm.CountSelected, COUNTIF(AlternativeMinimumTaxRateTable[IsSelected], TRUE),
    IF( _xlpm.CountSelected = 1, SelectionValidLabelCell, "Error: " &amp; _xlpm.CountSelected &amp; " rows selected")
)</f>
        <v>Valid</v>
      </c>
    </row>
    <row r="162" spans="6:12">
      <c r="F162" s="24" t="s">
        <v>143</v>
      </c>
      <c r="G162" s="24" t="s">
        <v>138</v>
      </c>
      <c r="H162" s="24" t="s">
        <v>152</v>
      </c>
      <c r="I162" s="24" t="s">
        <v>140</v>
      </c>
      <c r="J162" s="24" t="s">
        <v>141</v>
      </c>
      <c r="K162" s="24" t="s">
        <v>142</v>
      </c>
      <c r="L162" s="24" t="s">
        <v>129</v>
      </c>
    </row>
    <row r="163" spans="6:12">
      <c r="F163" s="6" t="s">
        <v>18</v>
      </c>
      <c r="G163" s="7">
        <v>2024</v>
      </c>
      <c r="H163" s="6">
        <v>0.26</v>
      </c>
      <c r="I163" s="28">
        <v>0</v>
      </c>
      <c r="J163" s="28">
        <v>232600</v>
      </c>
      <c r="K163" s="2">
        <v>0</v>
      </c>
      <c r="L163"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0</v>
      </c>
    </row>
    <row r="164" spans="6:12">
      <c r="F164" s="6" t="s">
        <v>18</v>
      </c>
      <c r="G164" s="7">
        <v>2024</v>
      </c>
      <c r="H164" s="6">
        <v>0.28000000000000003</v>
      </c>
      <c r="I164" s="28">
        <f>$J163</f>
        <v>232600</v>
      </c>
      <c r="J164" s="28">
        <f>MaxIncomeCell</f>
        <v>10000000</v>
      </c>
      <c r="K164" s="2">
        <f>$J163*$H163</f>
        <v>60476</v>
      </c>
      <c r="L164"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0</v>
      </c>
    </row>
    <row r="165" spans="6:12">
      <c r="F165" s="6" t="s">
        <v>134</v>
      </c>
      <c r="G165" s="7">
        <v>2024</v>
      </c>
      <c r="H165" s="6">
        <v>0.26</v>
      </c>
      <c r="I165" s="28">
        <v>0</v>
      </c>
      <c r="J165" s="28">
        <v>232600</v>
      </c>
      <c r="K165" s="2">
        <v>0</v>
      </c>
      <c r="L165"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0</v>
      </c>
    </row>
    <row r="166" spans="6:12">
      <c r="F166" s="6" t="s">
        <v>134</v>
      </c>
      <c r="G166" s="7">
        <v>2024</v>
      </c>
      <c r="H166" s="6">
        <v>0.28000000000000003</v>
      </c>
      <c r="I166" s="28">
        <f>$J165</f>
        <v>232600</v>
      </c>
      <c r="J166" s="28">
        <f>MaxIncomeCell</f>
        <v>10000000</v>
      </c>
      <c r="K166" s="2">
        <f>$J165*$H165</f>
        <v>60476</v>
      </c>
      <c r="L166"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0</v>
      </c>
    </row>
    <row r="167" spans="6:12">
      <c r="F167" s="6" t="s">
        <v>136</v>
      </c>
      <c r="G167" s="7">
        <v>2024</v>
      </c>
      <c r="H167" s="6">
        <v>0.26</v>
      </c>
      <c r="I167" s="28">
        <v>0</v>
      </c>
      <c r="J167" s="28">
        <v>116300</v>
      </c>
      <c r="K167" s="2">
        <v>0</v>
      </c>
      <c r="L167"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0</v>
      </c>
    </row>
    <row r="168" spans="6:12">
      <c r="F168" s="6" t="s">
        <v>136</v>
      </c>
      <c r="G168" s="7">
        <v>2024</v>
      </c>
      <c r="H168" s="6">
        <v>0.28000000000000003</v>
      </c>
      <c r="I168" s="28">
        <f>$J167</f>
        <v>116300</v>
      </c>
      <c r="J168" s="28">
        <f>MaxIncomeCell</f>
        <v>10000000</v>
      </c>
      <c r="K168" s="2">
        <f>$J167*$H167</f>
        <v>30238</v>
      </c>
      <c r="L168"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0</v>
      </c>
    </row>
    <row r="169" spans="6:12">
      <c r="F169" s="6" t="s">
        <v>137</v>
      </c>
      <c r="G169" s="7">
        <v>2024</v>
      </c>
      <c r="H169" s="6">
        <v>0.26</v>
      </c>
      <c r="I169" s="28">
        <v>0</v>
      </c>
      <c r="J169" s="28">
        <v>232600</v>
      </c>
      <c r="K169" s="2">
        <v>0</v>
      </c>
      <c r="L169"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0</v>
      </c>
    </row>
    <row r="170" spans="6:12">
      <c r="F170" s="6" t="s">
        <v>137</v>
      </c>
      <c r="G170" s="7">
        <v>2024</v>
      </c>
      <c r="H170" s="6">
        <v>0.28000000000000003</v>
      </c>
      <c r="I170" s="28">
        <f>$J169</f>
        <v>232600</v>
      </c>
      <c r="J170" s="28">
        <f>MaxIncomeCell</f>
        <v>10000000</v>
      </c>
      <c r="K170" s="2">
        <f>$J169*$H169</f>
        <v>60476</v>
      </c>
      <c r="L170"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0</v>
      </c>
    </row>
    <row r="171" spans="6:12">
      <c r="F171" s="29"/>
      <c r="G171" s="7"/>
      <c r="H171" s="6"/>
      <c r="I171" s="28"/>
      <c r="J171" s="28"/>
      <c r="K171" s="2"/>
      <c r="L171"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0</v>
      </c>
    </row>
    <row r="172" spans="6:12">
      <c r="F172" s="6" t="s">
        <v>18</v>
      </c>
      <c r="G172" s="7">
        <v>2025</v>
      </c>
      <c r="H172" s="6">
        <v>0.26</v>
      </c>
      <c r="I172" s="28">
        <v>0</v>
      </c>
      <c r="J172" s="28">
        <v>239100</v>
      </c>
      <c r="K172" s="2">
        <v>0</v>
      </c>
      <c r="L172"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1</v>
      </c>
    </row>
    <row r="173" spans="6:12">
      <c r="F173" s="6" t="s">
        <v>18</v>
      </c>
      <c r="G173" s="7">
        <v>2025</v>
      </c>
      <c r="H173" s="6">
        <v>0.28000000000000003</v>
      </c>
      <c r="I173" s="28">
        <f>$J172</f>
        <v>239100</v>
      </c>
      <c r="J173" s="28">
        <f>MaxIncomeCell</f>
        <v>10000000</v>
      </c>
      <c r="K173" s="2">
        <f>$J172*$H172</f>
        <v>62166</v>
      </c>
      <c r="L173"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0</v>
      </c>
    </row>
    <row r="174" spans="6:12">
      <c r="F174" s="6" t="s">
        <v>134</v>
      </c>
      <c r="G174" s="7">
        <v>2025</v>
      </c>
      <c r="H174" s="6">
        <v>0.26</v>
      </c>
      <c r="I174" s="28">
        <v>0</v>
      </c>
      <c r="J174" s="28">
        <v>239100</v>
      </c>
      <c r="K174" s="2">
        <v>0</v>
      </c>
      <c r="L174"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0</v>
      </c>
    </row>
    <row r="175" spans="6:12">
      <c r="F175" s="6" t="s">
        <v>134</v>
      </c>
      <c r="G175" s="7">
        <v>2025</v>
      </c>
      <c r="H175" s="6">
        <v>0.28000000000000003</v>
      </c>
      <c r="I175" s="28">
        <f>$J174</f>
        <v>239100</v>
      </c>
      <c r="J175" s="28">
        <f>MaxIncomeCell</f>
        <v>10000000</v>
      </c>
      <c r="K175" s="2">
        <f>$J174*$H174</f>
        <v>62166</v>
      </c>
      <c r="L175"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0</v>
      </c>
    </row>
    <row r="176" spans="6:12">
      <c r="F176" s="6" t="s">
        <v>136</v>
      </c>
      <c r="G176" s="7">
        <v>2025</v>
      </c>
      <c r="H176" s="6">
        <v>0.26</v>
      </c>
      <c r="I176" s="28">
        <v>0</v>
      </c>
      <c r="J176" s="28">
        <v>119500</v>
      </c>
      <c r="K176" s="2">
        <v>0</v>
      </c>
      <c r="L176"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0</v>
      </c>
    </row>
    <row r="177" spans="6:13">
      <c r="F177" s="6" t="s">
        <v>136</v>
      </c>
      <c r="G177" s="7">
        <v>2025</v>
      </c>
      <c r="H177" s="6">
        <v>0.28000000000000003</v>
      </c>
      <c r="I177" s="28">
        <f>$J176</f>
        <v>119500</v>
      </c>
      <c r="J177" s="28">
        <f>MaxIncomeCell</f>
        <v>10000000</v>
      </c>
      <c r="K177" s="2">
        <f>$J176*$H176</f>
        <v>31070</v>
      </c>
      <c r="L177"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0</v>
      </c>
    </row>
    <row r="178" spans="6:13">
      <c r="F178" s="6" t="s">
        <v>137</v>
      </c>
      <c r="G178" s="7">
        <v>2025</v>
      </c>
      <c r="H178" s="6">
        <v>0.26</v>
      </c>
      <c r="I178" s="28">
        <v>0</v>
      </c>
      <c r="J178" s="28">
        <v>239100</v>
      </c>
      <c r="K178" s="2">
        <v>0</v>
      </c>
      <c r="L178"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0</v>
      </c>
    </row>
    <row r="179" spans="6:13">
      <c r="F179" s="6" t="s">
        <v>137</v>
      </c>
      <c r="G179" s="7">
        <v>2025</v>
      </c>
      <c r="H179" s="6">
        <v>0.28000000000000003</v>
      </c>
      <c r="I179" s="28">
        <f>$J178</f>
        <v>239100</v>
      </c>
      <c r="J179" s="28">
        <f>MaxIncomeCell</f>
        <v>10000000</v>
      </c>
      <c r="K179" s="2">
        <f>$J178*$H178</f>
        <v>62166</v>
      </c>
      <c r="L179" t="b">
        <f xml:space="preserve"> AND(
    (AlternativeMinimumTaxRateTable[[#This Row],[Tax Year]] = EstimateInputTaxYearCell),
    (AlternativeMinimumTaxRateTable[[#This Row],[Status LabelId]] = EstimateInputFilingStatusCell),
    (AlternativeMinimumTaxRateTable[[#This Row],[RangeStart]] &lt;= Estimator!$G$91),
    (AlternativeMinimumTaxRateTable[[#This Row],[RangeEnd]] &gt; Estimator!$G$91)
)</f>
        <v>0</v>
      </c>
    </row>
    <row r="183" spans="6:13">
      <c r="F183" s="27" t="str">
        <f ca="1">_xlfn.LET(
    _xlpm.HandleFormulaText, _xlfn.FORMULATEXT(H183),
    MID(_xlpm.HandleFormulaText, 2, FIND("[", _xlpm.HandleFormulaText) - 2)
)</f>
        <v>LongTermCapitalGainsTaxRateTable</v>
      </c>
      <c r="G183" s="13" t="s">
        <v>123</v>
      </c>
      <c r="H183" s="14" t="str">
        <f>LongTermCapitalGainsTaxRateTable[[#Headers],[LTCG Rate]]</f>
        <v>LTCG Rate</v>
      </c>
    </row>
    <row r="184" spans="6:13">
      <c r="L184" s="16" t="str">
        <f xml:space="preserve"> _xlfn.LET(
    _xlpm.CountSelected, COUNTIF(LongTermCapitalGainsTaxRateTable[IsBracketStart], TRUE),
    IF( _xlpm.CountSelected = 1, SelectionValidLabelCell, "Error: " &amp; _xlpm.CountSelected &amp; " rows selected")
)</f>
        <v>Valid</v>
      </c>
      <c r="M184" s="16" t="str">
        <f xml:space="preserve"> _xlfn.LET(
    _xlpm.CountSelected, COUNTIF(LongTermCapitalGainsTaxRateTable[IsBracketEnd], TRUE),
    IF( _xlpm.CountSelected = 1, SelectionValidLabelCell, "Error: " &amp; _xlpm.CountSelected &amp; " rows selected")
)</f>
        <v>Valid</v>
      </c>
    </row>
    <row r="185" spans="6:13">
      <c r="F185" s="24" t="s">
        <v>143</v>
      </c>
      <c r="G185" s="24" t="s">
        <v>138</v>
      </c>
      <c r="H185" s="24" t="s">
        <v>153</v>
      </c>
      <c r="I185" s="24" t="s">
        <v>140</v>
      </c>
      <c r="J185" s="24" t="s">
        <v>141</v>
      </c>
      <c r="K185" s="24" t="s">
        <v>142</v>
      </c>
      <c r="L185" s="24" t="s">
        <v>154</v>
      </c>
      <c r="M185" s="24" t="s">
        <v>155</v>
      </c>
    </row>
    <row r="186" spans="6:13">
      <c r="F186" s="6" t="s">
        <v>18</v>
      </c>
      <c r="G186" s="7">
        <v>2024</v>
      </c>
      <c r="H186" s="6">
        <v>0</v>
      </c>
      <c r="I186" s="28">
        <v>0</v>
      </c>
      <c r="J186" s="28">
        <v>47025</v>
      </c>
      <c r="K186" s="2">
        <v>0</v>
      </c>
      <c r="L186"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186"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187" spans="6:13">
      <c r="F187" s="6" t="s">
        <v>18</v>
      </c>
      <c r="G187" s="7">
        <v>2024</v>
      </c>
      <c r="H187" s="6">
        <v>0.15</v>
      </c>
      <c r="I187" s="28">
        <f t="shared" ref="I187:I188" si="16">$J186</f>
        <v>47025</v>
      </c>
      <c r="J187" s="28">
        <v>518900</v>
      </c>
      <c r="K187" s="2">
        <f xml:space="preserve"> $K186 + ($J186 - $I186) * $H186</f>
        <v>0</v>
      </c>
      <c r="L187"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187"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188" spans="6:13">
      <c r="F188" s="6" t="s">
        <v>18</v>
      </c>
      <c r="G188" s="7">
        <v>2024</v>
      </c>
      <c r="H188" s="6">
        <v>0.2</v>
      </c>
      <c r="I188" s="28">
        <f t="shared" si="16"/>
        <v>518900</v>
      </c>
      <c r="J188" s="28">
        <f>MaxIncomeCell</f>
        <v>10000000</v>
      </c>
      <c r="K188" s="2">
        <f xml:space="preserve"> $K187 + ($J187 - $I187) * $H187</f>
        <v>70781.25</v>
      </c>
      <c r="L188"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188"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189" spans="6:13">
      <c r="F189" s="6" t="s">
        <v>134</v>
      </c>
      <c r="G189" s="7">
        <v>2024</v>
      </c>
      <c r="H189" s="6">
        <v>0</v>
      </c>
      <c r="I189" s="28">
        <v>0</v>
      </c>
      <c r="J189" s="28">
        <v>94050</v>
      </c>
      <c r="K189" s="2">
        <v>0</v>
      </c>
      <c r="L189"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189"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190" spans="6:13">
      <c r="F190" s="6" t="s">
        <v>134</v>
      </c>
      <c r="G190" s="7">
        <v>2024</v>
      </c>
      <c r="H190" s="6">
        <v>0.15</v>
      </c>
      <c r="I190" s="28">
        <f t="shared" ref="I190:I191" si="17">$J189</f>
        <v>94050</v>
      </c>
      <c r="J190" s="28">
        <v>583750</v>
      </c>
      <c r="K190" s="2">
        <f xml:space="preserve"> $K189 + ($J189 - $I189) * $H189</f>
        <v>0</v>
      </c>
      <c r="L190"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190"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191" spans="6:13">
      <c r="F191" s="6" t="s">
        <v>134</v>
      </c>
      <c r="G191" s="7">
        <v>2024</v>
      </c>
      <c r="H191" s="6">
        <v>0.2</v>
      </c>
      <c r="I191" s="28">
        <f t="shared" si="17"/>
        <v>583750</v>
      </c>
      <c r="J191" s="28">
        <f>MaxIncomeCell</f>
        <v>10000000</v>
      </c>
      <c r="K191" s="2">
        <f xml:space="preserve"> $K190 + ($J190 - $I190) * $H190</f>
        <v>73455</v>
      </c>
      <c r="L191"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191"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192" spans="6:13">
      <c r="F192" s="6" t="s">
        <v>136</v>
      </c>
      <c r="G192" s="7">
        <v>2024</v>
      </c>
      <c r="H192" s="6">
        <v>0</v>
      </c>
      <c r="I192" s="28">
        <v>0</v>
      </c>
      <c r="J192" s="28">
        <v>47025</v>
      </c>
      <c r="K192" s="2">
        <v>0</v>
      </c>
      <c r="L192"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192"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193" spans="6:13">
      <c r="F193" s="6" t="s">
        <v>136</v>
      </c>
      <c r="G193" s="7">
        <v>2024</v>
      </c>
      <c r="H193" s="6">
        <v>0.15</v>
      </c>
      <c r="I193" s="28">
        <f t="shared" ref="I193:I194" si="18">$J192</f>
        <v>47025</v>
      </c>
      <c r="J193" s="28">
        <v>291850</v>
      </c>
      <c r="K193" s="2">
        <f xml:space="preserve"> $K192 + ($J192 - $I192) * $H192</f>
        <v>0</v>
      </c>
      <c r="L193"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193"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194" spans="6:13">
      <c r="F194" s="6" t="s">
        <v>136</v>
      </c>
      <c r="G194" s="7">
        <v>2024</v>
      </c>
      <c r="H194" s="6">
        <v>0.2</v>
      </c>
      <c r="I194" s="28">
        <f t="shared" si="18"/>
        <v>291850</v>
      </c>
      <c r="J194" s="28">
        <f>MaxIncomeCell</f>
        <v>10000000</v>
      </c>
      <c r="K194" s="2">
        <f xml:space="preserve"> $K193 + ($J193 - $I193) * $H193</f>
        <v>36723.75</v>
      </c>
      <c r="L194"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194"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195" spans="6:13">
      <c r="F195" s="6" t="s">
        <v>137</v>
      </c>
      <c r="G195" s="7">
        <v>2024</v>
      </c>
      <c r="H195" s="6">
        <v>0</v>
      </c>
      <c r="I195" s="28">
        <v>0</v>
      </c>
      <c r="J195" s="28">
        <v>63000</v>
      </c>
      <c r="K195" s="2">
        <v>0</v>
      </c>
      <c r="L195"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195"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196" spans="6:13">
      <c r="F196" s="6" t="s">
        <v>137</v>
      </c>
      <c r="G196" s="7">
        <v>2024</v>
      </c>
      <c r="H196" s="6">
        <v>0.15</v>
      </c>
      <c r="I196" s="28">
        <f t="shared" ref="I196:I197" si="19">$J195</f>
        <v>63000</v>
      </c>
      <c r="J196" s="28">
        <v>551350</v>
      </c>
      <c r="K196" s="2">
        <f xml:space="preserve"> $K195 + ($J195 - $I195) * $H195</f>
        <v>0</v>
      </c>
      <c r="L196"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196"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197" spans="6:13">
      <c r="F197" s="6" t="s">
        <v>137</v>
      </c>
      <c r="G197" s="7">
        <v>2024</v>
      </c>
      <c r="H197" s="6">
        <v>0.2</v>
      </c>
      <c r="I197" s="28">
        <f t="shared" si="19"/>
        <v>551350</v>
      </c>
      <c r="J197" s="28">
        <f>MaxIncomeCell</f>
        <v>10000000</v>
      </c>
      <c r="K197" s="2">
        <f xml:space="preserve"> $K196 + ($J196 - $I196) * $H196</f>
        <v>73252.5</v>
      </c>
      <c r="L197"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197"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198" spans="6:13">
      <c r="F198" s="6"/>
      <c r="G198" s="7"/>
      <c r="I198" s="28"/>
      <c r="J198" s="28"/>
      <c r="K198" s="2"/>
      <c r="L198"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198"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199" spans="6:13">
      <c r="F199" s="6" t="s">
        <v>18</v>
      </c>
      <c r="G199" s="7">
        <v>2025</v>
      </c>
      <c r="H199" s="6">
        <v>0</v>
      </c>
      <c r="I199" s="28">
        <v>0</v>
      </c>
      <c r="J199" s="28">
        <v>48350</v>
      </c>
      <c r="K199" s="2">
        <v>0</v>
      </c>
      <c r="L199"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199"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200" spans="6:13">
      <c r="F200" s="6" t="s">
        <v>18</v>
      </c>
      <c r="G200" s="7">
        <v>2025</v>
      </c>
      <c r="H200" s="6">
        <v>0.15</v>
      </c>
      <c r="I200" s="28">
        <f t="shared" ref="I200:I201" si="20">$J199</f>
        <v>48350</v>
      </c>
      <c r="J200" s="28">
        <v>533400</v>
      </c>
      <c r="K200" s="2">
        <f xml:space="preserve"> $K199 + ($J199 - $I199) * $H199</f>
        <v>0</v>
      </c>
      <c r="L200"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1</v>
      </c>
      <c r="M200"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1</v>
      </c>
    </row>
    <row r="201" spans="6:13">
      <c r="F201" s="6" t="s">
        <v>18</v>
      </c>
      <c r="G201" s="7">
        <v>2025</v>
      </c>
      <c r="H201" s="6">
        <v>0.2</v>
      </c>
      <c r="I201" s="28">
        <f t="shared" si="20"/>
        <v>533400</v>
      </c>
      <c r="J201" s="28">
        <f>MaxIncomeCell</f>
        <v>10000000</v>
      </c>
      <c r="K201" s="2">
        <f xml:space="preserve"> $K200 + ($J200 - $I200) * $H200</f>
        <v>72757.5</v>
      </c>
      <c r="L201"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201"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202" spans="6:13">
      <c r="F202" s="6" t="s">
        <v>134</v>
      </c>
      <c r="G202" s="7">
        <v>2025</v>
      </c>
      <c r="H202" s="6">
        <v>0</v>
      </c>
      <c r="I202" s="28">
        <v>0</v>
      </c>
      <c r="J202" s="28">
        <v>96700</v>
      </c>
      <c r="K202" s="2">
        <v>0</v>
      </c>
      <c r="L202"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202"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203" spans="6:13">
      <c r="F203" s="6" t="s">
        <v>134</v>
      </c>
      <c r="G203" s="7">
        <v>2025</v>
      </c>
      <c r="H203" s="6">
        <v>0.15</v>
      </c>
      <c r="I203" s="28">
        <f t="shared" ref="I203:I204" si="21">$J202</f>
        <v>96700</v>
      </c>
      <c r="J203" s="28">
        <v>600050</v>
      </c>
      <c r="K203" s="2">
        <f xml:space="preserve"> $K202 + ($J202 - $I202) * $H202</f>
        <v>0</v>
      </c>
      <c r="L203"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203"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204" spans="6:13">
      <c r="F204" s="6" t="s">
        <v>134</v>
      </c>
      <c r="G204" s="7">
        <v>2025</v>
      </c>
      <c r="H204" s="6">
        <v>0.2</v>
      </c>
      <c r="I204" s="28">
        <f t="shared" si="21"/>
        <v>600050</v>
      </c>
      <c r="J204" s="28">
        <f>MaxIncomeCell</f>
        <v>10000000</v>
      </c>
      <c r="K204" s="2">
        <f xml:space="preserve"> $K203 + ($J203 - $I203) * $H203</f>
        <v>75502.5</v>
      </c>
      <c r="L204"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204"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205" spans="6:13">
      <c r="F205" s="6" t="s">
        <v>136</v>
      </c>
      <c r="G205" s="7">
        <v>2025</v>
      </c>
      <c r="H205" s="6">
        <v>0</v>
      </c>
      <c r="I205" s="28">
        <v>0</v>
      </c>
      <c r="J205" s="28">
        <v>48350</v>
      </c>
      <c r="K205" s="2">
        <v>0</v>
      </c>
      <c r="L205"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205"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206" spans="6:13">
      <c r="F206" s="6" t="s">
        <v>136</v>
      </c>
      <c r="G206" s="7">
        <v>2025</v>
      </c>
      <c r="H206" s="6">
        <v>0.15</v>
      </c>
      <c r="I206" s="28">
        <f t="shared" ref="I206:I207" si="22">$J205</f>
        <v>48350</v>
      </c>
      <c r="J206" s="28">
        <v>300000</v>
      </c>
      <c r="K206" s="2">
        <f xml:space="preserve"> $K205 + ($J205 - $I205) * $H205</f>
        <v>0</v>
      </c>
      <c r="L206"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206"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207" spans="6:13">
      <c r="F207" s="6" t="s">
        <v>136</v>
      </c>
      <c r="G207" s="7">
        <v>2025</v>
      </c>
      <c r="H207" s="6">
        <v>0.2</v>
      </c>
      <c r="I207" s="28">
        <f t="shared" si="22"/>
        <v>300000</v>
      </c>
      <c r="J207" s="28">
        <f>MaxIncomeCell</f>
        <v>10000000</v>
      </c>
      <c r="K207" s="2">
        <f xml:space="preserve"> $K206 + ($J206 - $I206) * $H206</f>
        <v>37747.5</v>
      </c>
      <c r="L207"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207"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208" spans="6:13">
      <c r="F208" s="6" t="s">
        <v>137</v>
      </c>
      <c r="G208" s="7">
        <v>2025</v>
      </c>
      <c r="H208" s="6">
        <v>0</v>
      </c>
      <c r="I208" s="28">
        <v>0</v>
      </c>
      <c r="J208" s="28">
        <v>64750</v>
      </c>
      <c r="K208" s="2">
        <v>0</v>
      </c>
      <c r="L208"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208"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209" spans="6:13">
      <c r="F209" s="6" t="s">
        <v>137</v>
      </c>
      <c r="G209" s="7">
        <v>2025</v>
      </c>
      <c r="H209" s="6">
        <v>0.15</v>
      </c>
      <c r="I209" s="28">
        <f t="shared" ref="I209:I210" si="23">$J208</f>
        <v>64750</v>
      </c>
      <c r="J209" s="28">
        <v>566700</v>
      </c>
      <c r="K209" s="2">
        <f xml:space="preserve"> $K208 + ($J208 - $I208) * $H208</f>
        <v>0</v>
      </c>
      <c r="L209"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209"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row r="210" spans="6:13">
      <c r="F210" s="6" t="s">
        <v>137</v>
      </c>
      <c r="G210" s="7">
        <v>2025</v>
      </c>
      <c r="H210" s="6">
        <v>0.2</v>
      </c>
      <c r="I210" s="28">
        <f t="shared" si="23"/>
        <v>566700</v>
      </c>
      <c r="J210" s="28">
        <f>MaxIncomeCell</f>
        <v>10000000</v>
      </c>
      <c r="K210" s="2">
        <f xml:space="preserve"> $K209 + ($J209 - $I209) * $H209</f>
        <v>75292.5</v>
      </c>
      <c r="L210" s="69" t="b">
        <f xml:space="preserve"> AND(
    (LongTermCapitalGainsTaxRateTable[[#This Row],[Tax Year]] = EstimateInputTaxYearCell),
    (LongTermCapitalGainsTaxRateTable[[#This Row],[Status LabelId]] = EstimateInputFilingStatusCell),
    (LongTermCapitalGainsTaxRateTable[[#This Row],[RangeStart]] &lt; Estimator!$C$107),
    (LongTermCapitalGainsTaxRateTable[[#This Row],[RangeEnd]] &gt;= Estimator!$C$107)
)</f>
        <v>0</v>
      </c>
      <c r="M210" t="b">
        <f xml:space="preserve"> AND(
    (LongTermCapitalGainsTaxRateTable[[#This Row],[Tax Year]] = EstimateInputTaxYearCell),
    (LongTermCapitalGainsTaxRateTable[[#This Row],[Status LabelId]] = EstimateInputFilingStatusCell),
    (LongTermCapitalGainsTaxRateTable[[#This Row],[RangeStart]] &lt; Estimator!$C$114),
    (LongTermCapitalGainsTaxRateTable[[#This Row],[RangeEnd]] &gt;= Estimator!$C$114)
)</f>
        <v>0</v>
      </c>
    </row>
  </sheetData>
  <conditionalFormatting sqref="C7">
    <cfRule type="expression" dxfId="93" priority="47">
      <formula xml:space="preserve"> ($C$7 &lt;&gt; SelectionValidLabelCell)</formula>
    </cfRule>
    <cfRule type="expression" dxfId="92" priority="48">
      <formula xml:space="preserve"> ($C$7 = SelectionValidLabelCell)</formula>
    </cfRule>
  </conditionalFormatting>
  <conditionalFormatting sqref="C17">
    <cfRule type="expression" dxfId="91" priority="39">
      <formula xml:space="preserve"> ($C$17 &lt;&gt; SelectionValidLabelCell)</formula>
    </cfRule>
    <cfRule type="expression" dxfId="90" priority="40">
      <formula xml:space="preserve"> ($C$17 = SelectionValidLabelCell)</formula>
    </cfRule>
  </conditionalFormatting>
  <conditionalFormatting sqref="C19:C20">
    <cfRule type="cellIs" dxfId="89" priority="43" operator="equal">
      <formula>TRUE</formula>
    </cfRule>
    <cfRule type="cellIs" dxfId="88" priority="44" operator="notEqual">
      <formula>TRUE</formula>
    </cfRule>
  </conditionalFormatting>
  <conditionalFormatting sqref="I68">
    <cfRule type="expression" dxfId="87" priority="29">
      <formula xml:space="preserve"> ($I$68 &lt;&gt; SelectionValidLabelCell)</formula>
    </cfRule>
    <cfRule type="expression" dxfId="86" priority="30">
      <formula xml:space="preserve"> ($I$68 = SelectionValidLabelCell)</formula>
    </cfRule>
  </conditionalFormatting>
  <conditionalFormatting sqref="I70:I78">
    <cfRule type="cellIs" dxfId="85" priority="31" operator="equal">
      <formula>TRUE</formula>
    </cfRule>
    <cfRule type="cellIs" dxfId="84" priority="32" operator="notEqual">
      <formula>TRUE</formula>
    </cfRule>
  </conditionalFormatting>
  <conditionalFormatting sqref="J38">
    <cfRule type="expression" dxfId="83" priority="36">
      <formula xml:space="preserve"> ($J$38 &lt;&gt; SelectionValidLabelCell)</formula>
    </cfRule>
    <cfRule type="expression" dxfId="82" priority="38">
      <formula xml:space="preserve"> ($J$38 = SelectionValidLabelCell)</formula>
    </cfRule>
  </conditionalFormatting>
  <conditionalFormatting sqref="J40:J48">
    <cfRule type="cellIs" dxfId="81" priority="33" operator="equal">
      <formula>TRUE</formula>
    </cfRule>
    <cfRule type="cellIs" dxfId="80" priority="34" operator="notEqual">
      <formula>TRUE</formula>
    </cfRule>
  </conditionalFormatting>
  <conditionalFormatting sqref="J146">
    <cfRule type="expression" dxfId="79" priority="23">
      <formula xml:space="preserve"> ($J$146 &lt;&gt; SelectionValidLabelCell)</formula>
    </cfRule>
    <cfRule type="expression" dxfId="78" priority="24">
      <formula xml:space="preserve"> ($J$146 = SelectionValidLabelCell)</formula>
    </cfRule>
  </conditionalFormatting>
  <conditionalFormatting sqref="J148:J156">
    <cfRule type="cellIs" dxfId="77" priority="21" operator="equal">
      <formula>TRUE</formula>
    </cfRule>
    <cfRule type="cellIs" dxfId="76" priority="22" operator="notEqual">
      <formula>TRUE</formula>
    </cfRule>
  </conditionalFormatting>
  <conditionalFormatting sqref="K53">
    <cfRule type="expression" dxfId="75" priority="35">
      <formula xml:space="preserve"> ($K$53 &lt;&gt; SelectionValidLabelCell)</formula>
    </cfRule>
    <cfRule type="expression" dxfId="74" priority="37">
      <formula xml:space="preserve"> ($K$53 = SelectionValidLabelCell)</formula>
    </cfRule>
  </conditionalFormatting>
  <conditionalFormatting sqref="K55:K63">
    <cfRule type="cellIs" dxfId="73" priority="52" operator="equal">
      <formula>TRUE</formula>
    </cfRule>
    <cfRule type="cellIs" dxfId="72" priority="54" operator="notEqual">
      <formula>TRUE</formula>
    </cfRule>
  </conditionalFormatting>
  <conditionalFormatting sqref="L15">
    <cfRule type="expression" dxfId="71" priority="55">
      <formula xml:space="preserve"> ($L$15 &lt;&gt; SelectionValidLabelCell)</formula>
    </cfRule>
    <cfRule type="expression" dxfId="70" priority="57">
      <formula xml:space="preserve"> ($L$15 = SelectionValidLabelCell)</formula>
    </cfRule>
  </conditionalFormatting>
  <conditionalFormatting sqref="L17:L33">
    <cfRule type="cellIs" dxfId="69" priority="51" operator="equal">
      <formula>TRUE</formula>
    </cfRule>
    <cfRule type="cellIs" dxfId="68" priority="53" operator="notEqual">
      <formula>TRUE</formula>
    </cfRule>
  </conditionalFormatting>
  <conditionalFormatting sqref="L83">
    <cfRule type="expression" dxfId="67" priority="27">
      <formula xml:space="preserve"> ($L$83 &lt;&gt; SelectionValidLabelCell)</formula>
    </cfRule>
    <cfRule type="expression" dxfId="66" priority="28">
      <formula xml:space="preserve"> ($L$83 = SelectionValidLabelCell)</formula>
    </cfRule>
  </conditionalFormatting>
  <conditionalFormatting sqref="L85:L141">
    <cfRule type="cellIs" dxfId="65" priority="25" operator="equal">
      <formula>TRUE</formula>
    </cfRule>
    <cfRule type="cellIs" dxfId="64" priority="26" operator="notEqual">
      <formula>TRUE</formula>
    </cfRule>
  </conditionalFormatting>
  <conditionalFormatting sqref="L161">
    <cfRule type="expression" dxfId="63" priority="19">
      <formula xml:space="preserve"> ($L$161 &lt;&gt; SelectionValidLabelCell)</formula>
    </cfRule>
    <cfRule type="expression" dxfId="62" priority="20">
      <formula xml:space="preserve"> ($L$161 = SelectionValidLabelCell)</formula>
    </cfRule>
  </conditionalFormatting>
  <conditionalFormatting sqref="L163:L179">
    <cfRule type="cellIs" dxfId="61" priority="17" operator="equal">
      <formula>TRUE</formula>
    </cfRule>
    <cfRule type="cellIs" dxfId="60" priority="18" operator="notEqual">
      <formula>TRUE</formula>
    </cfRule>
  </conditionalFormatting>
  <conditionalFormatting sqref="L184:M184">
    <cfRule type="expression" dxfId="59" priority="1">
      <formula xml:space="preserve"> ($L$161 &lt;&gt; SelectionValidLabelCell)</formula>
    </cfRule>
    <cfRule type="expression" dxfId="58" priority="2">
      <formula xml:space="preserve"> ($L$161 = SelectionValidLabelCell)</formula>
    </cfRule>
  </conditionalFormatting>
  <conditionalFormatting sqref="L186:M210">
    <cfRule type="cellIs" dxfId="57" priority="3" operator="equal">
      <formula>TRUE</formula>
    </cfRule>
    <cfRule type="cellIs" dxfId="56" priority="4" operator="equal">
      <formula>FALSE</formula>
    </cfRule>
  </conditionalFormatting>
  <conditionalFormatting sqref="C9:C12">
    <cfRule type="cellIs" dxfId="55" priority="49" operator="equal">
      <formula>TRUE</formula>
    </cfRule>
    <cfRule type="cellIs" dxfId="54" priority="50" operator="notEqual">
      <formula>TRUE</formula>
    </cfRule>
  </conditionalFormatting>
  <dataValidations count="3">
    <dataValidation type="list" showInputMessage="1" showErrorMessage="1" sqref="G26:G33 G163:G170 G17:G24 G172:G179" xr:uid="{F21B7136-6291-4745-B85C-97DF8580CEE1}">
      <formula1>INDIRECT("SupportedYearsTable[Tax Year]")</formula1>
    </dataValidation>
    <dataValidation type="list" allowBlank="1" showInputMessage="1" showErrorMessage="1" sqref="G25 G40:G48 G55:G63 G70:G78 G148:G156 G171 G85:G141 G186:G210" xr:uid="{4A91861D-EFA2-455D-A3DF-27D70B208AF4}">
      <formula1>INDIRECT("SupportedYearsTable[Tax Year]")</formula1>
    </dataValidation>
    <dataValidation type="list" allowBlank="1" showInputMessage="1" showErrorMessage="1" errorTitle="Invalid Filing Status!" sqref="F17:F33 F40:F48 F55:F63 F70:F78 F148:F156 F163:F179 F85:F141 F186:F210" xr:uid="{C2490CA9-90B1-479B-9898-FBC90E434CA7}">
      <formula1>INDIRECT("FilingStatusTable[Filing Status]")</formula1>
    </dataValidation>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Greg P</dc:creator>
  <cp:keywords/>
  <dc:description/>
  <cp:lastModifiedBy/>
  <cp:revision/>
  <dcterms:created xsi:type="dcterms:W3CDTF">2025-04-17T22:12:42Z</dcterms:created>
  <dcterms:modified xsi:type="dcterms:W3CDTF">2025-12-21T06:00:04Z</dcterms:modified>
  <cp:category/>
  <cp:contentStatus/>
</cp:coreProperties>
</file>